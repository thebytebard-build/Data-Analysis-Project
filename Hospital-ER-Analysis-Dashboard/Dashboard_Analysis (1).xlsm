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ml.chartshap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hidePivotFieldList="1" defaultThemeVersion="166925"/>
  <mc:AlternateContent xmlns:mc="http://schemas.openxmlformats.org/markup-compatibility/2006">
    <mc:Choice Requires="x15">
      <x15ac:absPath xmlns:x15ac="http://schemas.microsoft.com/office/spreadsheetml/2010/11/ac" url="D:\Excel\Projects\"/>
    </mc:Choice>
  </mc:AlternateContent>
  <xr:revisionPtr revIDLastSave="0" documentId="8_{3902FDFF-F270-4EA0-852A-F2B3976FD5BC}" xr6:coauthVersionLast="47" xr6:coauthVersionMax="47" xr10:uidLastSave="{00000000-0000-0000-0000-000000000000}"/>
  <bookViews>
    <workbookView xWindow="-108" yWindow="-108" windowWidth="23256" windowHeight="12456" activeTab="1" xr2:uid="{4F01E55F-4E43-4358-8652-F245A32DEB64}"/>
  </bookViews>
  <sheets>
    <sheet name="Pivot Report" sheetId="1" r:id="rId1"/>
    <sheet name="Dashboard" sheetId="3" r:id="rId2"/>
    <sheet name="Average of Paient Waittime" sheetId="7" r:id="rId3"/>
    <sheet name="Avg Satisfaction Score" sheetId="5" r:id="rId4"/>
    <sheet name="Daily ER No of patient" sheetId="4" r:id="rId5"/>
  </sheets>
  <definedNames>
    <definedName name="Slicer_Date__Month">#N/A</definedName>
    <definedName name="Slicer_Date__Year">#N/A</definedName>
  </definedNames>
  <calcPr calcId="191029"/>
  <pivotCaches>
    <pivotCache cacheId="3358" r:id="rId6"/>
    <pivotCache cacheId="3361" r:id="rId7"/>
    <pivotCache cacheId="3364" r:id="rId8"/>
    <pivotCache cacheId="3367" r:id="rId9"/>
    <pivotCache cacheId="3370" r:id="rId10"/>
    <pivotCache cacheId="3373" r:id="rId11"/>
    <pivotCache cacheId="3376" r:id="rId12"/>
    <pivotCache cacheId="3379" r:id="rId13"/>
    <pivotCache cacheId="3382" r:id="rId14"/>
    <pivotCache cacheId="3385" r:id="rId15"/>
    <pivotCache cacheId="3388" r:id="rId16"/>
    <pivotCache cacheId="3391" r:id="rId17"/>
  </pivotCaches>
  <extLst>
    <ext xmlns:x14="http://schemas.microsoft.com/office/spreadsheetml/2009/9/main" uri="{876F7934-8845-4945-9796-88D515C7AA90}">
      <x14:pivotCaches>
        <pivotCache cacheId="146" r:id="rId18"/>
        <pivotCache cacheId="1532"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endar_Table_e6211a1d-8546-4ce0-8c39-9f3123ba7ea7" name="Calendar_Table" connection="Query - Calendar_Table"/>
          <x15:modelTable id="Hospital Emergency Room Data_db5d010f-9e0f-422b-80bd-5a05590065a3" name="Hospital Emergency Room Data" connection="Query - Hospital Emergency Room Data"/>
        </x15:modelTables>
        <x15:modelRelationships>
          <x15:modelRelationship fromTable="Hospital Emergency Room Data" fromColumn="Patient Admission Date.1"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1"/>
                <x16:calculatedTimeColumn columnName="Date (Day)" columnId="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B20B3D-C483-4280-A2C1-4DD83284B3EB}" name="Query - Calendar_Table" description="Connection to the 'Calendar_Table' query in the workbook." type="100" refreshedVersion="8" minRefreshableVersion="5">
    <extLst>
      <ext xmlns:x15="http://schemas.microsoft.com/office/spreadsheetml/2010/11/main" uri="{DE250136-89BD-433C-8126-D09CA5730AF9}">
        <x15:connection id="f40a9e51-b34c-45a5-96e3-478ee5799974"/>
      </ext>
    </extLst>
  </connection>
  <connection id="2" xr16:uid="{861C6B66-C6F6-4527-BFAB-D8CCE6742DE6}"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d71952f5-9309-49eb-82b0-2452db5f6037"/>
      </ext>
    </extLst>
  </connection>
  <connection id="3" xr16:uid="{BC894F85-1713-42DE-B86A-5FE70A5CCEC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<sst xmlns="http://schemas.openxmlformats.org/spreadsheetml/2006/main" count="146" uniqueCount="67">
  <si>
    <t>Row Labels</t>
  </si>
  <si>
    <t>Grand Total</t>
  </si>
  <si>
    <t>Count of Patient Id</t>
  </si>
  <si>
    <t>Average of Patient Waittime</t>
  </si>
  <si>
    <t>Average of Patient Satisfaction Score</t>
  </si>
  <si>
    <t>Male</t>
  </si>
  <si>
    <t>None</t>
  </si>
  <si>
    <t>Admitted</t>
  </si>
  <si>
    <t>60-69</t>
  </si>
  <si>
    <t>Delay</t>
  </si>
  <si>
    <t>70-79</t>
  </si>
  <si>
    <t>10-19</t>
  </si>
  <si>
    <t>Ontime</t>
  </si>
  <si>
    <t>40-49</t>
  </si>
  <si>
    <t>50-59</t>
  </si>
  <si>
    <t>20-29</t>
  </si>
  <si>
    <t>0-09</t>
  </si>
  <si>
    <t>30-39</t>
  </si>
  <si>
    <t>Female</t>
  </si>
  <si>
    <t>Not Admitted</t>
  </si>
  <si>
    <t>2024</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</si>
  <si>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</si>
  <si>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</si>
  <si>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</si>
  <si>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</si>
  <si>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</si>
  <si>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</si>
  <si>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</si>
  <si>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</si>
  <si>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</si>
  <si>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</si>
  <si>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</si>
  <si>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</si>
  <si>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</si>
  <si>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</si>
  <si>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</si>
  <si>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</si>
  <si>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</si>
  <si>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</si>
  <si>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</si>
  <si>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</si>
  <si>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</si>
  <si>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</si>
  <si>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</si>
  <si>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</si>
  <si>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</si>
  <si>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</si>
  <si>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</si>
  <si>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</si>
  <si>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</si>
  <si>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</si>
  <si>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Distinct Count of Patient Id</t>
  </si>
  <si>
    <t>use an area chart to track daily changes and highlisght days with longer wait times that might need improvement</t>
  </si>
  <si>
    <t>Count of Age Group</t>
  </si>
  <si>
    <t>Count of Patient Attend Status</t>
  </si>
  <si>
    <t>General Practice</t>
  </si>
  <si>
    <t>Orthopedics</t>
  </si>
  <si>
    <t>Cardiology</t>
  </si>
  <si>
    <t>Neurology</t>
  </si>
  <si>
    <t>Gastroenterology</t>
  </si>
  <si>
    <t>Physiotherapy</t>
  </si>
  <si>
    <t>Count of Patient Gender</t>
  </si>
  <si>
    <t>Renal</t>
  </si>
  <si>
    <t>Count of Department Referral</t>
  </si>
  <si>
    <t>No. of Patient</t>
  </si>
  <si>
    <t>P% of Patient</t>
  </si>
  <si>
    <t>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</si>
</sst>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Calibri"/>
      <family val="2"/>
      <scheme val="minor"/>
    </font>
  </fonts>
  <fills count="6">
    <fill>
      <patternFill patternType="none"/>
    </fill>
    <fill>
      <patternFill patternType="gray125"/>
    </fill>
    <fill>
      <patternFill patternType="solid">
        <fgColor theme="2"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7" tint="0.59999389629810485"/>
        <bgColor indexed="64"/>
      </patternFill>
    </fill>
  </fills>
  <borders count="1">
    <border>
      <left/>
      <right/>
      <top/>
      <bottom/>
      <diagonal/>
    </border>
  </borders>
  <cellStyleXfs count="1">
    <xf numFmtId="0" fontId="0" fillId="0" borderId="0"/>
  </cellStyleXfs>
  <cellXfs count="23">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1" fontId="0" fillId="0" borderId="0" xfId="0" applyNumberFormat="1"/>
    <xf numFmtId="0" fontId="0" fillId="2" borderId="0" xfId="0" applyFill="1"/>
    <xf numFmtId="0" fontId="0" fillId="3" borderId="0" xfId="0" applyFill="1"/>
    <xf numFmtId="0" fontId="0" fillId="4" borderId="0" xfId="0" applyFill="1"/>
    <xf numFmtId="0" fontId="0" fillId="5" borderId="0" xfId="0" applyFill="1" applyAlignment="1">
      <alignment horizontal="left"/>
    </xf>
    <xf numFmtId="1" fontId="0" fillId="5" borderId="0" xfId="0" applyNumberFormat="1" applyFill="1" applyAlignment="1">
      <alignment horizontal="center"/>
    </xf>
    <xf numFmtId="9" fontId="0" fillId="5" borderId="0" xfId="0" applyNumberFormat="1" applyFill="1" applyAlignment="1">
      <alignment horizontal="center"/>
    </xf>
    <xf numFmtId="0" fontId="0" fillId="4" borderId="0" xfId="0" applyFill="1" applyAlignment="1">
      <alignment horizontal="center"/>
    </xf>
    <xf numFmtId="0" fontId="0" fillId="4" borderId="0" xfId="0" applyFill="1" applyBorder="1" applyAlignment="1">
      <alignment horizontal="center"/>
    </xf>
    <xf numFmtId="0" fontId="0" fillId="5" borderId="0" xfId="0" applyFill="1" applyBorder="1" applyAlignment="1">
      <alignment horizontal="left"/>
    </xf>
    <xf numFmtId="1" fontId="0" fillId="5" borderId="0" xfId="0" applyNumberFormat="1" applyFill="1" applyBorder="1" applyAlignment="1">
      <alignment horizontal="center"/>
    </xf>
    <xf numFmtId="9" fontId="0" fillId="5" borderId="0" xfId="0" applyNumberFormat="1" applyFill="1" applyBorder="1" applyAlignment="1">
      <alignment horizontal="center"/>
    </xf>
    <xf numFmtId="0" fontId="0" fillId="0" borderId="0" xfId="0" applyBorder="1"/>
    <xf numFmtId="0" fontId="0" fillId="3" borderId="0" xfId="0" applyFill="1" applyBorder="1" applyAlignment="1">
      <alignment horizontal="left"/>
    </xf>
    <xf numFmtId="0" fontId="0" fillId="3" borderId="0" xfId="0" applyFill="1" applyBorder="1" applyAlignment="1">
      <alignment horizontal="center"/>
    </xf>
    <xf numFmtId="1" fontId="0" fillId="3" borderId="0" xfId="0" applyNumberFormat="1" applyFill="1" applyBorder="1" applyAlignment="1">
      <alignment horizontal="center"/>
    </xf>
    <xf numFmtId="9" fontId="0" fillId="3" borderId="0" xfId="0" applyNumberFormat="1" applyFill="1" applyBorder="1" applyAlignment="1">
      <alignment horizontal="center"/>
    </xf>
    <xf numFmtId="0" fontId="0" fillId="3" borderId="0" xfId="0" applyFill="1" applyBorder="1"/>
  </cellXfs>
  <cellStyles count="1">
    <cellStyle name="Normal" xfId="0" builtinId="0"/>
  </cellStyles>
  <dxfs count="81">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4" formatCode="0.00%"/>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7" tint="0.59999389629810485"/>
        </patternFill>
      </fill>
    </dxf>
    <dxf>
      <fill>
        <patternFill>
          <bgColor theme="7" tint="0.59999389629810485"/>
        </patternFill>
      </fill>
    </dxf>
    <dxf>
      <numFmt numFmtId="13" formatCode="0%"/>
    </dxf>
    <dxf>
      <alignment horizontal="center"/>
    </dxf>
    <dxf>
      <alignment horizontal="center"/>
    </dxf>
    <dxf>
      <alignment horizontal="center"/>
    </dxf>
    <dxf>
      <alignment horizontal="center"/>
    </dxf>
    <dxf>
      <alignment horizontal="center"/>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2" formatCode="0.00"/>
    </dxf>
    <dxf>
      <numFmt numFmtId="1" formatCode="0"/>
    </dxf>
    <dxf>
      <numFmt numFmtId="14" formatCode="0.00%"/>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7" tint="0.59999389629810485"/>
        </patternFill>
      </fill>
    </dxf>
    <dxf>
      <fill>
        <patternFill>
          <bgColor theme="7" tint="0.59999389629810485"/>
        </patternFill>
      </fill>
    </dxf>
    <dxf>
      <numFmt numFmtId="13" formatCode="0%"/>
    </dxf>
    <dxf>
      <alignment horizontal="center"/>
    </dxf>
    <dxf>
      <alignment horizontal="center"/>
    </dxf>
    <dxf>
      <alignment horizontal="center"/>
    </dxf>
    <dxf>
      <alignment horizontal="center"/>
    </dxf>
    <dxf>
      <alignment horizontal="center"/>
    </dxf>
    <dxf>
      <numFmt numFmtId="2" formatCode="0.00"/>
    </dxf>
    <dxf>
      <numFmt numFmtId="2" formatCode="0.00"/>
    </dxf>
    <dxf>
      <numFmt numFmtId="1" formatCode="0"/>
    </dxf>
    <dxf>
      <numFmt numFmtId="2" formatCode="0.00"/>
    </dxf>
    <dxf>
      <numFmt numFmtId="2" formatCode="0.00"/>
    </dxf>
    <dxf>
      <numFmt numFmtId="1" formatCode="0"/>
    </dxf>
    <dxf>
      <numFmt numFmtId="1" formatCode="0"/>
    </dxf>
    <dxf>
      <numFmt numFmtId="1" formatCode="0"/>
    </dxf>
    <dxf>
      <numFmt numFmtId="1" formatCode="0"/>
    </dxf>
    <dxf>
      <numFmt numFmtId="2" formatCode="0.00"/>
    </dxf>
    <dxf>
      <numFmt numFmtId="1" formatCode="0"/>
    </dxf>
    <dxf>
      <numFmt numFmtId="14" formatCode="0.00%"/>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bgColor theme="7" tint="0.59999389629810485"/>
        </patternFill>
      </fill>
    </dxf>
    <dxf>
      <fill>
        <patternFill>
          <bgColor theme="7" tint="0.59999389629810485"/>
        </patternFill>
      </fill>
    </dxf>
    <dxf>
      <numFmt numFmtId="13" formatCode="0%"/>
    </dxf>
    <dxf>
      <alignment horizontal="center"/>
    </dxf>
    <dxf>
      <alignment horizontal="center"/>
    </dxf>
    <dxf>
      <alignment horizontal="center"/>
    </dxf>
    <dxf>
      <alignment horizontal="center"/>
    </dxf>
    <dxf>
      <alignment horizontal="center"/>
    </dxf>
    <dxf>
      <font>
        <b/>
        <color theme="1"/>
      </font>
      <border>
        <bottom style="thin">
          <color theme="5"/>
        </bottom>
        <vertical/>
        <horizontal/>
      </border>
    </dxf>
    <dxf>
      <font>
        <sz val="7"/>
        <color theme="1"/>
      </font>
      <fill>
        <patternFill>
          <bgColor theme="7" tint="0.59996337778862885"/>
        </patternFill>
      </fill>
      <border diagonalUp="0" diagonalDown="0">
        <left/>
        <right/>
        <top/>
        <bottom/>
        <vertical/>
        <horizontal/>
      </border>
    </dxf>
    <dxf>
      <font>
        <b/>
        <color theme="1"/>
      </font>
      <border>
        <bottom style="thin">
          <color theme="5"/>
        </bottom>
        <vertical/>
        <horizontal/>
      </border>
    </dxf>
    <dxf>
      <font>
        <sz val="7"/>
        <color theme="1"/>
      </font>
      <fill>
        <patternFill>
          <bgColor theme="7" tint="0.59996337778862885"/>
        </patternFill>
      </fill>
      <border diagonalUp="0" diagonalDown="0">
        <left/>
        <right/>
        <top/>
        <bottom/>
        <vertical/>
        <horizontal/>
      </border>
    </dxf>
    <dxf>
      <font>
        <b/>
        <color theme="1"/>
      </font>
      <border>
        <bottom style="thin">
          <color theme="5"/>
        </bottom>
        <vertical/>
        <horizontal/>
      </border>
    </dxf>
    <dxf>
      <font>
        <sz val="7"/>
        <color theme="1"/>
      </font>
      <fill>
        <patternFill>
          <bgColor theme="7" tint="0.59996337778862885"/>
        </patternFill>
      </fill>
      <border diagonalUp="0" diagonalDown="0">
        <left/>
        <right/>
        <top/>
        <bottom/>
        <vertical/>
        <horizontal/>
      </border>
    </dxf>
    <dxf>
      <font>
        <b/>
        <color theme="1"/>
      </font>
      <border>
        <bottom style="thin">
          <color theme="6"/>
        </bottom>
        <vertical/>
        <horizontal/>
      </border>
    </dxf>
    <dxf>
      <font>
        <color theme="1"/>
      </font>
      <fill>
        <patternFill>
          <bgColor theme="0"/>
        </patternFill>
      </fill>
      <border diagonalUp="0" diagonalDown="0">
        <left/>
        <right/>
        <top/>
        <bottom/>
        <vertical/>
        <horizontal/>
      </border>
    </dxf>
    <dxf>
      <font>
        <b/>
        <color theme="1"/>
      </font>
      <border>
        <bottom style="thin">
          <color theme="5"/>
        </bottom>
        <vertical/>
        <horizontal/>
      </border>
    </dxf>
    <dxf>
      <font>
        <sz val="7"/>
        <color theme="1"/>
      </font>
      <fill>
        <patternFill>
          <bgColor theme="0" tint="-4.9989318521683403E-2"/>
        </patternFill>
      </fill>
      <border diagonalUp="0" diagonalDown="0">
        <left/>
        <right/>
        <top/>
        <bottom/>
        <vertical/>
        <horizontal/>
      </border>
    </dxf>
    <dxf>
      <font>
        <b/>
        <color theme="1"/>
      </font>
      <border>
        <bottom style="thin">
          <color theme="5"/>
        </bottom>
        <vertical/>
        <horizontal/>
      </border>
    </dxf>
    <dxf>
      <font>
        <sz val="7"/>
        <color theme="1"/>
      </font>
      <fill>
        <patternFill>
          <bgColor theme="5" tint="0.59996337778862885"/>
        </patternFill>
      </fill>
      <border diagonalUp="0" diagonalDown="0">
        <left/>
        <right/>
        <top/>
        <bottom/>
        <vertical/>
        <horizontal/>
      </border>
    </dxf>
    <dxf>
      <font>
        <b/>
        <color theme="1"/>
      </font>
      <border>
        <bottom style="thin">
          <color theme="5"/>
        </bottom>
        <vertical/>
        <horizontal/>
      </border>
    </dxf>
    <dxf>
      <font>
        <sz val="7"/>
        <color theme="1"/>
      </font>
      <fill>
        <patternFill>
          <bgColor theme="0"/>
        </patternFill>
      </fill>
      <border diagonalUp="0" diagonalDown="0">
        <left/>
        <right/>
        <top/>
        <bottom/>
        <vertical/>
        <horizontal/>
      </border>
    </dxf>
    <dxf>
      <font>
        <sz val="7"/>
      </font>
      <fill>
        <patternFill>
          <bgColor theme="0"/>
        </patternFill>
      </fill>
    </dxf>
  </dxfs>
  <tableStyles count="8" defaultTableStyle="TableStyleMedium2" defaultPivotStyle="PivotStyleLight16">
    <tableStyle name="format 2 3" pivot="0" table="0" count="10" xr9:uid="{5B2B2A7E-2779-4927-BE86-A75C793A5113}">
      <tableStyleElement type="wholeTable" dxfId="79"/>
      <tableStyleElement type="headerRow" dxfId="78"/>
    </tableStyle>
    <tableStyle name="format 2 3 2" pivot="0" table="0" count="10" xr9:uid="{DABDE7B0-8FBE-4DAF-8EB3-A0BDF7550095}">
      <tableStyleElement type="wholeTable" dxfId="77"/>
      <tableStyleElement type="headerRow" dxfId="76"/>
    </tableStyle>
    <tableStyle name="format 2 3 3" pivot="0" table="0" count="10" xr9:uid="{826185FC-9857-46D9-88DC-AAD6A16E36AE}">
      <tableStyleElement type="wholeTable" dxfId="75"/>
      <tableStyleElement type="headerRow" dxfId="74"/>
    </tableStyle>
    <tableStyle name="format 3 2" pivot="0" table="0" count="10" xr9:uid="{1ECA05C9-2115-4DC9-BB3C-2D0C9DD696A4}">
      <tableStyleElement type="wholeTable" dxfId="71"/>
      <tableStyleElement type="headerRow" dxfId="70"/>
    </tableStyle>
    <tableStyle name="format 3 2 2" pivot="0" table="0" count="10" xr9:uid="{6D3845EA-AD0F-4123-A96D-59A1F1E7F1EE}">
      <tableStyleElement type="wholeTable" dxfId="69"/>
      <tableStyleElement type="headerRow" dxfId="68"/>
    </tableStyle>
    <tableStyle name="format 3 2 3" pivot="0" table="0" count="10" xr9:uid="{8BF3B2FE-79CD-48BA-BE23-EF917359D262}">
      <tableStyleElement type="wholeTable" dxfId="67"/>
      <tableStyleElement type="headerRow" dxfId="66"/>
    </tableStyle>
    <tableStyle name="My Style" pivot="0" table="0" count="1" xr9:uid="{339B693A-28CF-495C-9B3E-B5CC759FF991}">
      <tableStyleElement type="wholeTable" dxfId="80"/>
    </tableStyle>
    <tableStyle name="SlicerStyleLight3 2" pivot="0" table="0" count="10" xr9:uid="{7651C02D-A3A8-4663-A202-9A77AFF3DB4A}">
      <tableStyleElement type="wholeTable" dxfId="73"/>
      <tableStyleElement type="headerRow" dxfId="72"/>
    </tableStyle>
  </tableStyles>
  <colors>
    <mruColors>
      <color rgb="FFF4A4E9"/>
    </mruColors>
  </colors>
  <extLst>
    <ext xmlns:x14="http://schemas.microsoft.com/office/spreadsheetml/2009/9/main" uri="{46F421CA-312F-682f-3DD2-61675219B42D}">
      <x14:dxfs count="5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C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7" tint="0.3999450666829432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rgb="FFFFC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7" tint="0.59996337778862885"/>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2" tint="-0.2499465926084170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2" tint="-9.9948118533890809E-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2" tint="-9.9948118533890809E-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2" tint="-9.9948118533890809E-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2" tint="-9.9948118533890809E-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format 2 3">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format 2 3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format 2 3 3">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format 3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format 3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format 3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My Style"/>
        <x14:slicerStyle name="SlicerStyleLight3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3.xml"/><Relationship Id="rId21" Type="http://schemas.microsoft.com/office/2007/relationships/slicerCache" Target="slicerCaches/slicerCache2.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1.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Report!PivotTable8</c:name>
    <c:fmtId val="0"/>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tint val="77000"/>
            </a:schemeClr>
          </a:solidFill>
          <a:ln>
            <a:noFill/>
          </a:ln>
          <a:effectLst/>
        </c:spPr>
      </c:pivotFmt>
      <c:pivotFmt>
        <c:idx val="3"/>
        <c:spPr>
          <a:solidFill>
            <a:schemeClr val="accent4">
              <a:tint val="77000"/>
            </a:schemeClr>
          </a:solidFill>
          <a:ln>
            <a:noFill/>
          </a:ln>
          <a:effectLst/>
        </c:spPr>
      </c:pivotFmt>
    </c:pivotFmts>
    <c:plotArea>
      <c:layout>
        <c:manualLayout>
          <c:layoutTarget val="inner"/>
          <c:xMode val="edge"/>
          <c:yMode val="edge"/>
          <c:x val="0"/>
          <c:y val="2.3958376565312044E-2"/>
          <c:w val="1"/>
          <c:h val="0.76041623434687955"/>
        </c:manualLayout>
      </c:layout>
      <c:barChart>
        <c:barDir val="bar"/>
        <c:grouping val="clustered"/>
        <c:varyColors val="0"/>
        <c:ser>
          <c:idx val="0"/>
          <c:order val="0"/>
          <c:tx>
            <c:strRef>
              <c:f>'Pivot Report'!$B$42</c:f>
              <c:strCache>
                <c:ptCount val="1"/>
                <c:pt idx="0">
                  <c:v>No. of Patient</c:v>
                </c:pt>
              </c:strCache>
            </c:strRef>
          </c:tx>
          <c:spPr>
            <a:solidFill>
              <a:schemeClr val="accent4">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Report'!$A$43:$A$44</c:f>
              <c:strCache>
                <c:ptCount val="2"/>
                <c:pt idx="0">
                  <c:v>Admitted</c:v>
                </c:pt>
                <c:pt idx="1">
                  <c:v>Not Admitted</c:v>
                </c:pt>
              </c:strCache>
            </c:strRef>
          </c:cat>
          <c:val>
            <c:numRef>
              <c:f>'Pivot Report'!$B$43:$B$44</c:f>
              <c:numCache>
                <c:formatCode>0</c:formatCode>
                <c:ptCount val="2"/>
                <c:pt idx="0">
                  <c:v>217</c:v>
                </c:pt>
                <c:pt idx="1">
                  <c:v>252</c:v>
                </c:pt>
              </c:numCache>
            </c:numRef>
          </c:val>
          <c:extLst>
            <c:ext xmlns:c16="http://schemas.microsoft.com/office/drawing/2014/chart" uri="{C3380CC4-5D6E-409C-BE32-E72D297353CC}">
              <c16:uniqueId val="{00000009-C574-4B8C-9A39-CDC6C43D769D}"/>
            </c:ext>
          </c:extLst>
        </c:ser>
        <c:ser>
          <c:idx val="1"/>
          <c:order val="1"/>
          <c:tx>
            <c:strRef>
              <c:f>'Pivot Report'!$C$42</c:f>
              <c:strCache>
                <c:ptCount val="1"/>
                <c:pt idx="0">
                  <c:v>P% of Patient</c:v>
                </c:pt>
              </c:strCache>
            </c:strRef>
          </c:tx>
          <c:spPr>
            <a:solidFill>
              <a:schemeClr val="accent4">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Report'!$A$43:$A$44</c:f>
              <c:strCache>
                <c:ptCount val="2"/>
                <c:pt idx="0">
                  <c:v>Admitted</c:v>
                </c:pt>
                <c:pt idx="1">
                  <c:v>Not Admitted</c:v>
                </c:pt>
              </c:strCache>
            </c:strRef>
          </c:cat>
          <c:val>
            <c:numRef>
              <c:f>'Pivot Report'!$C$43:$C$44</c:f>
              <c:numCache>
                <c:formatCode>0%</c:formatCode>
                <c:ptCount val="2"/>
                <c:pt idx="0">
                  <c:v>0.46268656716417911</c:v>
                </c:pt>
                <c:pt idx="1">
                  <c:v>0.53731343283582089</c:v>
                </c:pt>
              </c:numCache>
            </c:numRef>
          </c:val>
          <c:extLst>
            <c:ext xmlns:c16="http://schemas.microsoft.com/office/drawing/2014/chart" uri="{C3380CC4-5D6E-409C-BE32-E72D297353CC}">
              <c16:uniqueId val="{0000000A-C574-4B8C-9A39-CDC6C43D769D}"/>
            </c:ext>
          </c:extLst>
        </c:ser>
        <c:dLbls>
          <c:dLblPos val="outEnd"/>
          <c:showLegendKey val="0"/>
          <c:showVal val="1"/>
          <c:showCatName val="0"/>
          <c:showSerName val="0"/>
          <c:showPercent val="0"/>
          <c:showBubbleSize val="0"/>
        </c:dLbls>
        <c:gapWidth val="16"/>
        <c:axId val="519887136"/>
        <c:axId val="519887616"/>
      </c:barChart>
      <c:catAx>
        <c:axId val="519887136"/>
        <c:scaling>
          <c:orientation val="minMax"/>
        </c:scaling>
        <c:delete val="1"/>
        <c:axPos val="l"/>
        <c:numFmt formatCode="General" sourceLinked="1"/>
        <c:majorTickMark val="none"/>
        <c:minorTickMark val="none"/>
        <c:tickLblPos val="nextTo"/>
        <c:crossAx val="519887616"/>
        <c:crosses val="autoZero"/>
        <c:auto val="1"/>
        <c:lblAlgn val="ctr"/>
        <c:lblOffset val="100"/>
        <c:noMultiLvlLbl val="0"/>
      </c:catAx>
      <c:valAx>
        <c:axId val="519887616"/>
        <c:scaling>
          <c:orientation val="minMax"/>
        </c:scaling>
        <c:delete val="1"/>
        <c:axPos val="b"/>
        <c:numFmt formatCode="0" sourceLinked="1"/>
        <c:majorTickMark val="none"/>
        <c:minorTickMark val="none"/>
        <c:tickLblPos val="nextTo"/>
        <c:crossAx val="51988713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nchor="ctr"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Report!PivotTable5</c:name>
    <c:fmtId val="4"/>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934946338364555E-2"/>
          <c:y val="0.21535065598298261"/>
          <c:w val="0.93519132434134922"/>
          <c:h val="0.77418356491824458"/>
        </c:manualLayout>
      </c:layout>
      <c:areaChart>
        <c:grouping val="standard"/>
        <c:varyColors val="0"/>
        <c:ser>
          <c:idx val="0"/>
          <c:order val="0"/>
          <c:tx>
            <c:strRef>
              <c:f>'Pivot Report'!$D$4</c:f>
              <c:strCache>
                <c:ptCount val="1"/>
                <c:pt idx="0">
                  <c:v>Total</c:v>
                </c:pt>
              </c:strCache>
            </c:strRef>
          </c:tx>
          <c:spPr>
            <a:solidFill>
              <a:schemeClr val="accent4"/>
            </a:solidFill>
            <a:ln w="25400">
              <a:noFill/>
            </a:ln>
            <a:effectLst/>
          </c:spPr>
          <c:cat>
            <c:strRef>
              <c:f>'Pivot Report'!$C$5:$C$35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Report'!$D$5:$D$35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5-4DB0-4CED-8128-A832F4A5A1EE}"/>
            </c:ext>
          </c:extLst>
        </c:ser>
        <c:dLbls>
          <c:showLegendKey val="0"/>
          <c:showVal val="0"/>
          <c:showCatName val="0"/>
          <c:showSerName val="0"/>
          <c:showPercent val="0"/>
          <c:showBubbleSize val="0"/>
        </c:dLbls>
        <c:axId val="117929504"/>
        <c:axId val="117929984"/>
      </c:areaChart>
      <c:catAx>
        <c:axId val="117929504"/>
        <c:scaling>
          <c:orientation val="minMax"/>
        </c:scaling>
        <c:delete val="1"/>
        <c:axPos val="b"/>
        <c:numFmt formatCode="General" sourceLinked="1"/>
        <c:majorTickMark val="out"/>
        <c:minorTickMark val="none"/>
        <c:tickLblPos val="nextTo"/>
        <c:crossAx val="117929984"/>
        <c:crosses val="autoZero"/>
        <c:auto val="1"/>
        <c:lblAlgn val="ctr"/>
        <c:lblOffset val="100"/>
        <c:noMultiLvlLbl val="0"/>
      </c:catAx>
      <c:valAx>
        <c:axId val="117929984"/>
        <c:scaling>
          <c:orientation val="minMax"/>
        </c:scaling>
        <c:delete val="1"/>
        <c:axPos val="l"/>
        <c:numFmt formatCode="General" sourceLinked="1"/>
        <c:majorTickMark val="none"/>
        <c:minorTickMark val="none"/>
        <c:tickLblPos val="nextTo"/>
        <c:crossAx val="1179295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Report!PivotTable9</c:name>
    <c:fmtId val="12"/>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w="1270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396186153489613E-2"/>
          <c:y val="1.1632935022200667E-2"/>
          <c:w val="0.93584412290712882"/>
          <c:h val="0.4783348210476257"/>
        </c:manualLayout>
      </c:layout>
      <c:barChart>
        <c:barDir val="col"/>
        <c:grouping val="clustered"/>
        <c:varyColors val="0"/>
        <c:ser>
          <c:idx val="0"/>
          <c:order val="0"/>
          <c:tx>
            <c:strRef>
              <c:f>'Pivot Report'!$B$64</c:f>
              <c:strCache>
                <c:ptCount val="1"/>
                <c:pt idx="0">
                  <c:v>Total</c:v>
                </c:pt>
              </c:strCache>
            </c:strRef>
          </c:tx>
          <c:spPr>
            <a:solidFill>
              <a:schemeClr val="accent4"/>
            </a:solidFill>
            <a:ln w="12700">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Report'!$A$65:$A$73</c:f>
              <c:strCache>
                <c:ptCount val="8"/>
                <c:pt idx="0">
                  <c:v>0-09</c:v>
                </c:pt>
                <c:pt idx="1">
                  <c:v>10-19</c:v>
                </c:pt>
                <c:pt idx="2">
                  <c:v>20-29</c:v>
                </c:pt>
                <c:pt idx="3">
                  <c:v>30-39</c:v>
                </c:pt>
                <c:pt idx="4">
                  <c:v>40-49</c:v>
                </c:pt>
                <c:pt idx="5">
                  <c:v>50-59</c:v>
                </c:pt>
                <c:pt idx="6">
                  <c:v>60-69</c:v>
                </c:pt>
                <c:pt idx="7">
                  <c:v>70-79</c:v>
                </c:pt>
              </c:strCache>
            </c:strRef>
          </c:cat>
          <c:val>
            <c:numRef>
              <c:f>'Pivot Report'!$B$65:$B$73</c:f>
              <c:numCache>
                <c:formatCode>0</c:formatCode>
                <c:ptCount val="8"/>
                <c:pt idx="0">
                  <c:v>59</c:v>
                </c:pt>
                <c:pt idx="1">
                  <c:v>57</c:v>
                </c:pt>
                <c:pt idx="2">
                  <c:v>69</c:v>
                </c:pt>
                <c:pt idx="3">
                  <c:v>62</c:v>
                </c:pt>
                <c:pt idx="4">
                  <c:v>54</c:v>
                </c:pt>
                <c:pt idx="5">
                  <c:v>57</c:v>
                </c:pt>
                <c:pt idx="6">
                  <c:v>54</c:v>
                </c:pt>
                <c:pt idx="7">
                  <c:v>57</c:v>
                </c:pt>
              </c:numCache>
            </c:numRef>
          </c:val>
          <c:extLst>
            <c:ext xmlns:c16="http://schemas.microsoft.com/office/drawing/2014/chart" uri="{C3380CC4-5D6E-409C-BE32-E72D297353CC}">
              <c16:uniqueId val="{00000008-BC7C-4607-AB44-367F73BF2104}"/>
            </c:ext>
          </c:extLst>
        </c:ser>
        <c:dLbls>
          <c:dLblPos val="outEnd"/>
          <c:showLegendKey val="0"/>
          <c:showVal val="1"/>
          <c:showCatName val="0"/>
          <c:showSerName val="0"/>
          <c:showPercent val="0"/>
          <c:showBubbleSize val="0"/>
        </c:dLbls>
        <c:gapWidth val="219"/>
        <c:overlap val="-27"/>
        <c:axId val="519789216"/>
        <c:axId val="519787776"/>
      </c:barChart>
      <c:catAx>
        <c:axId val="51978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9787776"/>
        <c:crosses val="autoZero"/>
        <c:auto val="1"/>
        <c:lblAlgn val="ctr"/>
        <c:lblOffset val="100"/>
        <c:noMultiLvlLbl val="0"/>
      </c:catAx>
      <c:valAx>
        <c:axId val="519787776"/>
        <c:scaling>
          <c:orientation val="minMax"/>
        </c:scaling>
        <c:delete val="1"/>
        <c:axPos val="l"/>
        <c:numFmt formatCode="0" sourceLinked="1"/>
        <c:majorTickMark val="none"/>
        <c:minorTickMark val="none"/>
        <c:tickLblPos val="nextTo"/>
        <c:crossAx val="519789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0"/>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Report!PivotTable10</c:name>
    <c:fmtId val="35"/>
  </c:pivotSource>
  <c:chart>
    <c:autoTitleDeleted val="1"/>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9050">
            <a:solidFill>
              <a:schemeClr val="lt1"/>
            </a:solidFill>
          </a:ln>
          <a:effectLst/>
        </c:spPr>
      </c:pivotFmt>
      <c:pivotFmt>
        <c:idx val="9"/>
        <c:spPr>
          <a:solidFill>
            <a:schemeClr val="accent4"/>
          </a:solidFill>
          <a:ln w="19050">
            <a:solidFill>
              <a:schemeClr val="lt1"/>
            </a:solidFill>
          </a:ln>
          <a:effectLst/>
        </c:spPr>
      </c:pivotFmt>
      <c:pivotFmt>
        <c:idx val="1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475"/>
                  <c:h val="0.13162899793103636"/>
                </c:manualLayout>
              </c15:layout>
            </c:ext>
          </c:extLst>
        </c:dLbl>
      </c:pivotFmt>
      <c:pivotFmt>
        <c:idx val="12"/>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b" anchorCtr="0">
              <a:spAutoFit/>
            </a:bodyPr>
            <a:lstStyle/>
            <a:p>
              <a:pPr algn="ctr">
                <a:defRPr sz="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7929404222925599"/>
          <c:y val="0.12656760010261872"/>
          <c:w val="0.64166666666666672"/>
          <c:h val="0.80353900082553309"/>
        </c:manualLayout>
      </c:layout>
      <c:pieChart>
        <c:varyColors val="1"/>
        <c:ser>
          <c:idx val="0"/>
          <c:order val="0"/>
          <c:tx>
            <c:strRef>
              <c:f>'Pivot Report'!$B$79</c:f>
              <c:strCache>
                <c:ptCount val="1"/>
                <c:pt idx="0">
                  <c:v>Total</c:v>
                </c:pt>
              </c:strCache>
            </c:strRef>
          </c:tx>
          <c:dPt>
            <c:idx val="0"/>
            <c:bubble3D val="0"/>
            <c:spPr>
              <a:solidFill>
                <a:schemeClr val="accent4">
                  <a:shade val="76000"/>
                </a:schemeClr>
              </a:solidFill>
              <a:ln w="19050">
                <a:solidFill>
                  <a:schemeClr val="lt1"/>
                </a:solidFill>
              </a:ln>
              <a:effectLst/>
            </c:spPr>
          </c:dPt>
          <c:dPt>
            <c:idx val="1"/>
            <c:bubble3D val="0"/>
            <c:spPr>
              <a:solidFill>
                <a:schemeClr val="accent4">
                  <a:tint val="77000"/>
                </a:schemeClr>
              </a:solidFill>
              <a:ln w="19050">
                <a:solidFill>
                  <a:schemeClr val="lt1"/>
                </a:solidFill>
              </a:ln>
              <a:effectLst/>
            </c:spPr>
          </c:dPt>
          <c:dLbls>
            <c:dLbl>
              <c:idx val="0"/>
              <c:spPr>
                <a:noFill/>
                <a:ln>
                  <a:noFill/>
                </a:ln>
                <a:effectLst/>
              </c:spPr>
              <c:txPr>
                <a:bodyPr rot="0" spcFirstLastPara="1" vertOverflow="ellipsis" vert="horz" wrap="square" lIns="38100" tIns="19050" rIns="38100" bIns="19050" anchor="b" anchorCtr="0">
                  <a:spAutoFit/>
                </a:bodyPr>
                <a:lstStyle/>
                <a:p>
                  <a:pPr algn="ctr">
                    <a:defRPr sz="6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dLbl>
              <c:idx val="1"/>
              <c:dLblPos val="ctr"/>
              <c:showLegendKey val="0"/>
              <c:showVal val="0"/>
              <c:showCatName val="0"/>
              <c:showSerName val="0"/>
              <c:showPercent val="1"/>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Report'!$A$80:$A$82</c:f>
              <c:strCache>
                <c:ptCount val="2"/>
                <c:pt idx="0">
                  <c:v>Delay</c:v>
                </c:pt>
                <c:pt idx="1">
                  <c:v>Ontime</c:v>
                </c:pt>
              </c:strCache>
            </c:strRef>
          </c:cat>
          <c:val>
            <c:numRef>
              <c:f>'Pivot Report'!$B$80:$B$82</c:f>
              <c:numCache>
                <c:formatCode>0</c:formatCode>
                <c:ptCount val="2"/>
                <c:pt idx="0">
                  <c:v>268</c:v>
                </c:pt>
                <c:pt idx="1">
                  <c:v>201</c:v>
                </c:pt>
              </c:numCache>
            </c:numRef>
          </c:val>
          <c:extLst>
            <c:ext xmlns:c16="http://schemas.microsoft.com/office/drawing/2014/chart" uri="{C3380CC4-5D6E-409C-BE32-E72D297353CC}">
              <c16:uniqueId val="{00000009-212F-4DA7-91FB-B5231C43967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
          <c:y val="3.6864127731422126E-3"/>
          <c:w val="0.92697356998811387"/>
          <c:h val="0.185468395397943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Report!PivotTable11</c:name>
    <c:fmtId val="40"/>
  </c:pivotSource>
  <c:chart>
    <c:autoTitleDeleted val="1"/>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pivotFmt>
    </c:pivotFmts>
    <c:plotArea>
      <c:layout>
        <c:manualLayout>
          <c:layoutTarget val="inner"/>
          <c:xMode val="edge"/>
          <c:yMode val="edge"/>
          <c:x val="0.18388219251725749"/>
          <c:y val="0.1327317888609828"/>
          <c:w val="0.67349544906463366"/>
          <c:h val="0.8087492709244678"/>
        </c:manualLayout>
      </c:layout>
      <c:doughnutChart>
        <c:varyColors val="1"/>
        <c:ser>
          <c:idx val="0"/>
          <c:order val="0"/>
          <c:tx>
            <c:strRef>
              <c:f>'Pivot Report'!$B$86</c:f>
              <c:strCache>
                <c:ptCount val="1"/>
                <c:pt idx="0">
                  <c:v>Total</c:v>
                </c:pt>
              </c:strCache>
            </c:strRef>
          </c:tx>
          <c:dPt>
            <c:idx val="0"/>
            <c:bubble3D val="0"/>
            <c:spPr>
              <a:solidFill>
                <a:schemeClr val="accent4">
                  <a:shade val="76000"/>
                </a:schemeClr>
              </a:solidFill>
              <a:ln w="19050">
                <a:solidFill>
                  <a:schemeClr val="lt1"/>
                </a:solidFill>
              </a:ln>
              <a:effectLst/>
            </c:spPr>
          </c:dPt>
          <c:dPt>
            <c:idx val="1"/>
            <c:bubble3D val="0"/>
            <c:spPr>
              <a:solidFill>
                <a:schemeClr val="accent4">
                  <a:tint val="77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Report'!$A$87:$A$89</c:f>
              <c:strCache>
                <c:ptCount val="2"/>
                <c:pt idx="0">
                  <c:v>Female</c:v>
                </c:pt>
                <c:pt idx="1">
                  <c:v>Male</c:v>
                </c:pt>
              </c:strCache>
            </c:strRef>
          </c:cat>
          <c:val>
            <c:numRef>
              <c:f>'Pivot Report'!$B$87:$B$89</c:f>
              <c:numCache>
                <c:formatCode>0</c:formatCode>
                <c:ptCount val="2"/>
                <c:pt idx="0">
                  <c:v>241</c:v>
                </c:pt>
                <c:pt idx="1">
                  <c:v>228</c:v>
                </c:pt>
              </c:numCache>
            </c:numRef>
          </c:val>
          <c:extLst>
            <c:ext xmlns:c16="http://schemas.microsoft.com/office/drawing/2014/chart" uri="{C3380CC4-5D6E-409C-BE32-E72D297353CC}">
              <c16:uniqueId val="{00000009-60EA-434C-84A8-C755BBB97A8A}"/>
            </c:ext>
          </c:extLst>
        </c:ser>
        <c:dLbls>
          <c:showLegendKey val="0"/>
          <c:showVal val="0"/>
          <c:showCatName val="0"/>
          <c:showSerName val="0"/>
          <c:showPercent val="0"/>
          <c:showBubbleSize val="0"/>
          <c:showLeaderLines val="1"/>
        </c:dLbls>
        <c:firstSliceAng val="0"/>
        <c:holeSize val="40"/>
      </c:doughnutChart>
      <c:spPr>
        <a:noFill/>
        <a:ln>
          <a:noFill/>
        </a:ln>
        <a:effectLst/>
      </c:spPr>
    </c:plotArea>
    <c:legend>
      <c:legendPos val="r"/>
      <c:layout>
        <c:manualLayout>
          <c:xMode val="edge"/>
          <c:yMode val="edge"/>
          <c:x val="0"/>
          <c:y val="5.7823190962258658E-4"/>
          <c:w val="0.9974051503190865"/>
          <c:h val="0.232562833373754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Report!PivotTable12</c:name>
    <c:fmtId val="45"/>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167461873957207"/>
          <c:y val="8.4649558189468649E-2"/>
          <c:w val="0.61793544624126284"/>
          <c:h val="0.73544595269149637"/>
        </c:manualLayout>
      </c:layout>
      <c:barChart>
        <c:barDir val="bar"/>
        <c:grouping val="clustered"/>
        <c:varyColors val="0"/>
        <c:ser>
          <c:idx val="0"/>
          <c:order val="0"/>
          <c:tx>
            <c:strRef>
              <c:f>'Pivot Report'!$B$93</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Report'!$A$94:$A$102</c:f>
              <c:strCache>
                <c:ptCount val="8"/>
                <c:pt idx="0">
                  <c:v>Cardiology</c:v>
                </c:pt>
                <c:pt idx="1">
                  <c:v>Gastroenterology</c:v>
                </c:pt>
                <c:pt idx="2">
                  <c:v>General Practice</c:v>
                </c:pt>
                <c:pt idx="3">
                  <c:v>Neurology</c:v>
                </c:pt>
                <c:pt idx="4">
                  <c:v>None</c:v>
                </c:pt>
                <c:pt idx="5">
                  <c:v>Orthopedics</c:v>
                </c:pt>
                <c:pt idx="6">
                  <c:v>Physiotherapy</c:v>
                </c:pt>
                <c:pt idx="7">
                  <c:v>Renal</c:v>
                </c:pt>
              </c:strCache>
            </c:strRef>
          </c:cat>
          <c:val>
            <c:numRef>
              <c:f>'Pivot Report'!$B$94:$B$102</c:f>
              <c:numCache>
                <c:formatCode>0</c:formatCode>
                <c:ptCount val="8"/>
                <c:pt idx="0">
                  <c:v>13</c:v>
                </c:pt>
                <c:pt idx="1">
                  <c:v>8</c:v>
                </c:pt>
                <c:pt idx="2">
                  <c:v>92</c:v>
                </c:pt>
                <c:pt idx="3">
                  <c:v>10</c:v>
                </c:pt>
                <c:pt idx="4">
                  <c:v>284</c:v>
                </c:pt>
                <c:pt idx="5">
                  <c:v>44</c:v>
                </c:pt>
                <c:pt idx="6">
                  <c:v>15</c:v>
                </c:pt>
                <c:pt idx="7">
                  <c:v>3</c:v>
                </c:pt>
              </c:numCache>
            </c:numRef>
          </c:val>
          <c:extLst>
            <c:ext xmlns:c16="http://schemas.microsoft.com/office/drawing/2014/chart" uri="{C3380CC4-5D6E-409C-BE32-E72D297353CC}">
              <c16:uniqueId val="{00000005-8717-4D9F-A566-99DA414B9FEB}"/>
            </c:ext>
          </c:extLst>
        </c:ser>
        <c:dLbls>
          <c:showLegendKey val="0"/>
          <c:showVal val="0"/>
          <c:showCatName val="0"/>
          <c:showSerName val="0"/>
          <c:showPercent val="0"/>
          <c:showBubbleSize val="0"/>
        </c:dLbls>
        <c:gapWidth val="32"/>
        <c:axId val="519799296"/>
        <c:axId val="519800736"/>
      </c:barChart>
      <c:catAx>
        <c:axId val="519799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19800736"/>
        <c:crosses val="autoZero"/>
        <c:auto val="1"/>
        <c:lblAlgn val="ctr"/>
        <c:lblOffset val="100"/>
        <c:noMultiLvlLbl val="0"/>
      </c:catAx>
      <c:valAx>
        <c:axId val="51980073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19799296"/>
        <c:crosses val="autoZero"/>
        <c:crossBetween val="between"/>
      </c:valAx>
      <c:spPr>
        <a:noFill/>
        <a:ln w="0">
          <a:solidFill>
            <a:schemeClr val="accent1">
              <a:shade val="15000"/>
              <a:alpha val="99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Report!PivotTable6</c:name>
    <c:fmtId val="23"/>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782201753082654E-3"/>
          <c:y val="0.20080638785674756"/>
          <c:w val="0.99142177982469171"/>
          <c:h val="0.79919361214325246"/>
        </c:manualLayout>
      </c:layout>
      <c:areaChart>
        <c:grouping val="standard"/>
        <c:varyColors val="0"/>
        <c:ser>
          <c:idx val="0"/>
          <c:order val="0"/>
          <c:tx>
            <c:strRef>
              <c:f>'Pivot Report'!$K$4</c:f>
              <c:strCache>
                <c:ptCount val="1"/>
                <c:pt idx="0">
                  <c:v>Total</c:v>
                </c:pt>
              </c:strCache>
            </c:strRef>
          </c:tx>
          <c:spPr>
            <a:solidFill>
              <a:schemeClr val="accent4"/>
            </a:solidFill>
            <a:ln w="25400">
              <a:noFill/>
            </a:ln>
            <a:effectLst/>
          </c:spPr>
          <c:cat>
            <c:strRef>
              <c:f>'Pivot Report'!$J$5:$J$35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Report'!$K$5:$K$35</c:f>
              <c:numCache>
                <c:formatCode>0.00</c:formatCode>
                <c:ptCount val="30"/>
                <c:pt idx="0">
                  <c:v>31.833333333333332</c:v>
                </c:pt>
                <c:pt idx="1">
                  <c:v>39.368421052631582</c:v>
                </c:pt>
                <c:pt idx="2">
                  <c:v>32.352941176470587</c:v>
                </c:pt>
                <c:pt idx="3">
                  <c:v>34.049999999999997</c:v>
                </c:pt>
                <c:pt idx="4">
                  <c:v>31.8</c:v>
                </c:pt>
                <c:pt idx="5">
                  <c:v>37.823529411764703</c:v>
                </c:pt>
                <c:pt idx="6">
                  <c:v>31.875</c:v>
                </c:pt>
                <c:pt idx="7">
                  <c:v>27.3</c:v>
                </c:pt>
                <c:pt idx="8">
                  <c:v>31.933333333333334</c:v>
                </c:pt>
                <c:pt idx="9">
                  <c:v>30.5</c:v>
                </c:pt>
                <c:pt idx="10">
                  <c:v>38.0625</c:v>
                </c:pt>
                <c:pt idx="11">
                  <c:v>36.333333333333336</c:v>
                </c:pt>
                <c:pt idx="12">
                  <c:v>27</c:v>
                </c:pt>
                <c:pt idx="13">
                  <c:v>37.46153846153846</c:v>
                </c:pt>
                <c:pt idx="14">
                  <c:v>39.25</c:v>
                </c:pt>
                <c:pt idx="15">
                  <c:v>33.647058823529413</c:v>
                </c:pt>
                <c:pt idx="16">
                  <c:v>42.2</c:v>
                </c:pt>
                <c:pt idx="17">
                  <c:v>33.3125</c:v>
                </c:pt>
                <c:pt idx="18">
                  <c:v>25.76923076923077</c:v>
                </c:pt>
                <c:pt idx="19">
                  <c:v>37.125</c:v>
                </c:pt>
                <c:pt idx="20">
                  <c:v>37</c:v>
                </c:pt>
                <c:pt idx="21">
                  <c:v>36.80952380952381</c:v>
                </c:pt>
                <c:pt idx="22">
                  <c:v>39.799999999999997</c:v>
                </c:pt>
                <c:pt idx="23">
                  <c:v>38</c:v>
                </c:pt>
                <c:pt idx="24">
                  <c:v>36.133333333333333</c:v>
                </c:pt>
                <c:pt idx="25">
                  <c:v>36.555555555555557</c:v>
                </c:pt>
                <c:pt idx="26">
                  <c:v>39.210526315789473</c:v>
                </c:pt>
                <c:pt idx="27">
                  <c:v>31.1875</c:v>
                </c:pt>
                <c:pt idx="28">
                  <c:v>35.153846153846153</c:v>
                </c:pt>
                <c:pt idx="29">
                  <c:v>34.25</c:v>
                </c:pt>
              </c:numCache>
            </c:numRef>
          </c:val>
          <c:extLst>
            <c:ext xmlns:c16="http://schemas.microsoft.com/office/drawing/2014/chart" uri="{C3380CC4-5D6E-409C-BE32-E72D297353CC}">
              <c16:uniqueId val="{00000003-2609-49B7-9C91-EBD5C49807A7}"/>
            </c:ext>
          </c:extLst>
        </c:ser>
        <c:dLbls>
          <c:showLegendKey val="0"/>
          <c:showVal val="0"/>
          <c:showCatName val="0"/>
          <c:showSerName val="0"/>
          <c:showPercent val="0"/>
          <c:showBubbleSize val="0"/>
        </c:dLbls>
        <c:axId val="519805536"/>
        <c:axId val="519822336"/>
      </c:areaChart>
      <c:catAx>
        <c:axId val="519805536"/>
        <c:scaling>
          <c:orientation val="minMax"/>
        </c:scaling>
        <c:delete val="1"/>
        <c:axPos val="b"/>
        <c:numFmt formatCode="General" sourceLinked="1"/>
        <c:majorTickMark val="out"/>
        <c:minorTickMark val="none"/>
        <c:tickLblPos val="nextTo"/>
        <c:crossAx val="519822336"/>
        <c:crosses val="autoZero"/>
        <c:auto val="1"/>
        <c:lblAlgn val="ctr"/>
        <c:lblOffset val="100"/>
        <c:noMultiLvlLbl val="0"/>
      </c:catAx>
      <c:valAx>
        <c:axId val="519822336"/>
        <c:scaling>
          <c:orientation val="minMax"/>
        </c:scaling>
        <c:delete val="1"/>
        <c:axPos val="l"/>
        <c:numFmt formatCode="0.00" sourceLinked="1"/>
        <c:majorTickMark val="none"/>
        <c:minorTickMark val="none"/>
        <c:tickLblPos val="nextTo"/>
        <c:crossAx val="51980553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Report!PivotTable7</c:name>
    <c:fmtId val="25"/>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35772122688871738"/>
          <c:w val="1"/>
          <c:h val="0.60779672654154804"/>
        </c:manualLayout>
      </c:layout>
      <c:areaChart>
        <c:grouping val="standard"/>
        <c:varyColors val="0"/>
        <c:ser>
          <c:idx val="0"/>
          <c:order val="0"/>
          <c:tx>
            <c:strRef>
              <c:f>'Pivot Report'!$P$3</c:f>
              <c:strCache>
                <c:ptCount val="1"/>
                <c:pt idx="0">
                  <c:v>Total</c:v>
                </c:pt>
              </c:strCache>
            </c:strRef>
          </c:tx>
          <c:spPr>
            <a:solidFill>
              <a:schemeClr val="accent4"/>
            </a:solidFill>
            <a:ln w="25400">
              <a:noFill/>
            </a:ln>
            <a:effectLst/>
          </c:spPr>
          <c:cat>
            <c:strRef>
              <c:f>'Pivot Report'!$O$4:$O$31</c:f>
              <c:strCache>
                <c:ptCount val="27"/>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25-Apr</c:v>
                </c:pt>
                <c:pt idx="22">
                  <c:v>26-Apr</c:v>
                </c:pt>
                <c:pt idx="23">
                  <c:v>27-Apr</c:v>
                </c:pt>
                <c:pt idx="24">
                  <c:v>28-Apr</c:v>
                </c:pt>
                <c:pt idx="25">
                  <c:v>29-Apr</c:v>
                </c:pt>
                <c:pt idx="26">
                  <c:v>30-Apr</c:v>
                </c:pt>
              </c:strCache>
            </c:strRef>
          </c:cat>
          <c:val>
            <c:numRef>
              <c:f>'Pivot Report'!$P$4:$P$31</c:f>
              <c:numCache>
                <c:formatCode>0.00</c:formatCode>
                <c:ptCount val="27"/>
                <c:pt idx="0">
                  <c:v>4.5999999999999996</c:v>
                </c:pt>
                <c:pt idx="1">
                  <c:v>4.5999999999999996</c:v>
                </c:pt>
                <c:pt idx="2">
                  <c:v>5.666666666666667</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4.166666666666667</c:v>
                </c:pt>
                <c:pt idx="14">
                  <c:v>2.5</c:v>
                </c:pt>
                <c:pt idx="15">
                  <c:v>6</c:v>
                </c:pt>
                <c:pt idx="16">
                  <c:v>3.8</c:v>
                </c:pt>
                <c:pt idx="17">
                  <c:v>3.6</c:v>
                </c:pt>
                <c:pt idx="18">
                  <c:v>5.8571428571428568</c:v>
                </c:pt>
                <c:pt idx="19">
                  <c:v>6.25</c:v>
                </c:pt>
                <c:pt idx="20">
                  <c:v>4.666666666666667</c:v>
                </c:pt>
                <c:pt idx="21">
                  <c:v>0</c:v>
                </c:pt>
                <c:pt idx="22">
                  <c:v>4.666666666666667</c:v>
                </c:pt>
                <c:pt idx="23">
                  <c:v>2.8</c:v>
                </c:pt>
                <c:pt idx="24">
                  <c:v>4.2</c:v>
                </c:pt>
                <c:pt idx="25">
                  <c:v>2.5</c:v>
                </c:pt>
                <c:pt idx="26">
                  <c:v>5</c:v>
                </c:pt>
              </c:numCache>
            </c:numRef>
          </c:val>
          <c:extLst>
            <c:ext xmlns:c16="http://schemas.microsoft.com/office/drawing/2014/chart" uri="{C3380CC4-5D6E-409C-BE32-E72D297353CC}">
              <c16:uniqueId val="{00000003-5BEE-432A-962E-FE84F83EC492}"/>
            </c:ext>
          </c:extLst>
        </c:ser>
        <c:dLbls>
          <c:showLegendKey val="0"/>
          <c:showVal val="0"/>
          <c:showCatName val="0"/>
          <c:showSerName val="0"/>
          <c:showPercent val="0"/>
          <c:showBubbleSize val="0"/>
        </c:dLbls>
        <c:axId val="519875136"/>
        <c:axId val="519884256"/>
      </c:areaChart>
      <c:catAx>
        <c:axId val="519875136"/>
        <c:scaling>
          <c:orientation val="minMax"/>
        </c:scaling>
        <c:delete val="1"/>
        <c:axPos val="b"/>
        <c:numFmt formatCode="General" sourceLinked="1"/>
        <c:majorTickMark val="out"/>
        <c:minorTickMark val="none"/>
        <c:tickLblPos val="nextTo"/>
        <c:crossAx val="519884256"/>
        <c:crosses val="autoZero"/>
        <c:auto val="1"/>
        <c:lblAlgn val="ctr"/>
        <c:lblOffset val="100"/>
        <c:noMultiLvlLbl val="0"/>
      </c:catAx>
      <c:valAx>
        <c:axId val="519884256"/>
        <c:scaling>
          <c:orientation val="minMax"/>
        </c:scaling>
        <c:delete val="1"/>
        <c:axPos val="l"/>
        <c:numFmt formatCode="0.00" sourceLinked="1"/>
        <c:majorTickMark val="none"/>
        <c:minorTickMark val="none"/>
        <c:tickLblPos val="nextTo"/>
        <c:crossAx val="51987513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Report!PivotTable6</c:name>
    <c:fmtId val="2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365829271341083E-2"/>
          <c:y val="9.1236297668673763E-2"/>
          <c:w val="0.90456166937466154"/>
          <c:h val="0.77402780994287479"/>
        </c:manualLayout>
      </c:layout>
      <c:areaChart>
        <c:grouping val="standard"/>
        <c:varyColors val="0"/>
        <c:ser>
          <c:idx val="0"/>
          <c:order val="0"/>
          <c:tx>
            <c:strRef>
              <c:f>'Pivot Report'!$K$4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strRef>
              <c:f>'Pivot Report'!$J$5:$J$35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Report'!$K$5:$K$35</c:f>
              <c:numCache>
                <c:formatCode>0.00</c:formatCode>
                <c:ptCount val="30"/>
                <c:pt idx="0">
                  <c:v>31.833333333333332</c:v>
                </c:pt>
                <c:pt idx="1">
                  <c:v>39.368421052631582</c:v>
                </c:pt>
                <c:pt idx="2">
                  <c:v>32.352941176470587</c:v>
                </c:pt>
                <c:pt idx="3">
                  <c:v>34.049999999999997</c:v>
                </c:pt>
                <c:pt idx="4">
                  <c:v>31.8</c:v>
                </c:pt>
                <c:pt idx="5">
                  <c:v>37.823529411764703</c:v>
                </c:pt>
                <c:pt idx="6">
                  <c:v>31.875</c:v>
                </c:pt>
                <c:pt idx="7">
                  <c:v>27.3</c:v>
                </c:pt>
                <c:pt idx="8">
                  <c:v>31.933333333333334</c:v>
                </c:pt>
                <c:pt idx="9">
                  <c:v>30.5</c:v>
                </c:pt>
                <c:pt idx="10">
                  <c:v>38.0625</c:v>
                </c:pt>
                <c:pt idx="11">
                  <c:v>36.333333333333336</c:v>
                </c:pt>
                <c:pt idx="12">
                  <c:v>27</c:v>
                </c:pt>
                <c:pt idx="13">
                  <c:v>37.46153846153846</c:v>
                </c:pt>
                <c:pt idx="14">
                  <c:v>39.25</c:v>
                </c:pt>
                <c:pt idx="15">
                  <c:v>33.647058823529413</c:v>
                </c:pt>
                <c:pt idx="16">
                  <c:v>42.2</c:v>
                </c:pt>
                <c:pt idx="17">
                  <c:v>33.3125</c:v>
                </c:pt>
                <c:pt idx="18">
                  <c:v>25.76923076923077</c:v>
                </c:pt>
                <c:pt idx="19">
                  <c:v>37.125</c:v>
                </c:pt>
                <c:pt idx="20">
                  <c:v>37</c:v>
                </c:pt>
                <c:pt idx="21">
                  <c:v>36.80952380952381</c:v>
                </c:pt>
                <c:pt idx="22">
                  <c:v>39.799999999999997</c:v>
                </c:pt>
                <c:pt idx="23">
                  <c:v>38</c:v>
                </c:pt>
                <c:pt idx="24">
                  <c:v>36.133333333333333</c:v>
                </c:pt>
                <c:pt idx="25">
                  <c:v>36.555555555555557</c:v>
                </c:pt>
                <c:pt idx="26">
                  <c:v>39.210526315789473</c:v>
                </c:pt>
                <c:pt idx="27">
                  <c:v>31.1875</c:v>
                </c:pt>
                <c:pt idx="28">
                  <c:v>35.153846153846153</c:v>
                </c:pt>
                <c:pt idx="29">
                  <c:v>34.25</c:v>
                </c:pt>
              </c:numCache>
            </c:numRef>
          </c:val>
          <c:extLst>
            <c:ext xmlns:c16="http://schemas.microsoft.com/office/drawing/2014/chart" uri="{C3380CC4-5D6E-409C-BE32-E72D297353CC}">
              <c16:uniqueId val="{00000002-E7F9-426A-B215-3438008D979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19805536"/>
        <c:axId val="519822336"/>
      </c:areaChart>
      <c:catAx>
        <c:axId val="519805536"/>
        <c:scaling>
          <c:orientation val="minMax"/>
        </c:scaling>
        <c:delete val="0"/>
        <c:axPos val="b"/>
        <c:numFmt formatCode="General" sourceLinked="1"/>
        <c:majorTickMark val="none"/>
        <c:minorTickMark val="none"/>
        <c:tickLblPos val="nextTo"/>
        <c:spPr>
          <a:noFill/>
          <a:ln w="9525" cap="flat" cmpd="sng" algn="ctr">
            <a:solidFill>
              <a:schemeClr val="accent4">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19822336"/>
        <c:crosses val="autoZero"/>
        <c:auto val="1"/>
        <c:lblAlgn val="ctr"/>
        <c:lblOffset val="100"/>
        <c:noMultiLvlLbl val="0"/>
      </c:catAx>
      <c:valAx>
        <c:axId val="519822336"/>
        <c:scaling>
          <c:orientation val="minMax"/>
        </c:scaling>
        <c:delete val="1"/>
        <c:axPos val="l"/>
        <c:numFmt formatCode="0.00" sourceLinked="1"/>
        <c:majorTickMark val="out"/>
        <c:minorTickMark val="none"/>
        <c:tickLblPos val="nextTo"/>
        <c:crossAx val="51980553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Report!PivotTable7</c:name>
    <c:fmtId val="2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359063435169321E-2"/>
          <c:y val="0.11616408670359091"/>
          <c:w val="0.94525527773379336"/>
          <c:h val="0.75364955633050879"/>
        </c:manualLayout>
      </c:layout>
      <c:areaChart>
        <c:grouping val="standard"/>
        <c:varyColors val="0"/>
        <c:ser>
          <c:idx val="0"/>
          <c:order val="0"/>
          <c:tx>
            <c:strRef>
              <c:f>'Pivot Report'!$P$3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cat>
            <c:strRef>
              <c:f>'Pivot Report'!$O$4:$O$31</c:f>
              <c:strCache>
                <c:ptCount val="27"/>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25-Apr</c:v>
                </c:pt>
                <c:pt idx="22">
                  <c:v>26-Apr</c:v>
                </c:pt>
                <c:pt idx="23">
                  <c:v>27-Apr</c:v>
                </c:pt>
                <c:pt idx="24">
                  <c:v>28-Apr</c:v>
                </c:pt>
                <c:pt idx="25">
                  <c:v>29-Apr</c:v>
                </c:pt>
                <c:pt idx="26">
                  <c:v>30-Apr</c:v>
                </c:pt>
              </c:strCache>
            </c:strRef>
          </c:cat>
          <c:val>
            <c:numRef>
              <c:f>'Pivot Report'!$P$4:$P$31</c:f>
              <c:numCache>
                <c:formatCode>0.00</c:formatCode>
                <c:ptCount val="27"/>
                <c:pt idx="0">
                  <c:v>4.5999999999999996</c:v>
                </c:pt>
                <c:pt idx="1">
                  <c:v>4.5999999999999996</c:v>
                </c:pt>
                <c:pt idx="2">
                  <c:v>5.666666666666667</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4.166666666666667</c:v>
                </c:pt>
                <c:pt idx="14">
                  <c:v>2.5</c:v>
                </c:pt>
                <c:pt idx="15">
                  <c:v>6</c:v>
                </c:pt>
                <c:pt idx="16">
                  <c:v>3.8</c:v>
                </c:pt>
                <c:pt idx="17">
                  <c:v>3.6</c:v>
                </c:pt>
                <c:pt idx="18">
                  <c:v>5.8571428571428568</c:v>
                </c:pt>
                <c:pt idx="19">
                  <c:v>6.25</c:v>
                </c:pt>
                <c:pt idx="20">
                  <c:v>4.666666666666667</c:v>
                </c:pt>
                <c:pt idx="21">
                  <c:v>0</c:v>
                </c:pt>
                <c:pt idx="22">
                  <c:v>4.666666666666667</c:v>
                </c:pt>
                <c:pt idx="23">
                  <c:v>2.8</c:v>
                </c:pt>
                <c:pt idx="24">
                  <c:v>4.2</c:v>
                </c:pt>
                <c:pt idx="25">
                  <c:v>2.5</c:v>
                </c:pt>
                <c:pt idx="26">
                  <c:v>5</c:v>
                </c:pt>
              </c:numCache>
            </c:numRef>
          </c:val>
          <c:extLst>
            <c:ext xmlns:c16="http://schemas.microsoft.com/office/drawing/2014/chart" uri="{C3380CC4-5D6E-409C-BE32-E72D297353CC}">
              <c16:uniqueId val="{00000002-15CF-4525-B731-F498D869468E}"/>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19875136"/>
        <c:axId val="519884256"/>
      </c:areaChart>
      <c:catAx>
        <c:axId val="519875136"/>
        <c:scaling>
          <c:orientation val="minMax"/>
        </c:scaling>
        <c:delete val="0"/>
        <c:axPos val="b"/>
        <c:numFmt formatCode="General" sourceLinked="1"/>
        <c:majorTickMark val="out"/>
        <c:minorTickMark val="none"/>
        <c:tickLblPos val="nextTo"/>
        <c:spPr>
          <a:noFill/>
          <a:ln w="9525" cap="flat" cmpd="sng" algn="ctr">
            <a:solidFill>
              <a:schemeClr val="accent4">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19884256"/>
        <c:crosses val="autoZero"/>
        <c:auto val="1"/>
        <c:lblAlgn val="ctr"/>
        <c:lblOffset val="100"/>
        <c:noMultiLvlLbl val="0"/>
      </c:catAx>
      <c:valAx>
        <c:axId val="519884256"/>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1987513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[Hospital ER Dashboard Analysis.xlsm]Pivot Report!PivotTable5</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marker>
          <c:symbol val="circle"/>
          <c:size val="5"/>
          <c:spPr>
            <a:solidFill>
              <a:schemeClr val="accent4"/>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573796739459854"/>
          <c:y val="9.5541573025760884E-2"/>
          <c:w val="0.66256851880443046"/>
          <c:h val="0.55848408708736863"/>
        </c:manualLayout>
      </c:layout>
      <c:areaChart>
        <c:grouping val="standard"/>
        <c:varyColors val="0"/>
        <c:ser>
          <c:idx val="0"/>
          <c:order val="0"/>
          <c:tx>
            <c:strRef>
              <c:f>'Pivot Report'!$D$4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4"/>
              </a:solidFill>
            </a:ln>
            <a:effectLst>
              <a:innerShdw dist="38100" dir="16200000">
                <a:schemeClr val="lt1"/>
              </a:innerShdw>
            </a:effectLst>
          </c:spPr>
          <c:cat>
            <c:strRef>
              <c:f>'Pivot Report'!$C$5:$C$35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Report'!$D$5:$D$35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5-64E4-4489-BBDE-DB4BEC43EA10}"/>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17929504"/>
        <c:axId val="117929984"/>
      </c:areaChart>
      <c:catAx>
        <c:axId val="117929504"/>
        <c:scaling>
          <c:orientation val="minMax"/>
        </c:scaling>
        <c:delete val="0"/>
        <c:axPos val="b"/>
        <c:numFmt formatCode="General" sourceLinked="1"/>
        <c:majorTickMark val="out"/>
        <c:minorTickMark val="none"/>
        <c:tickLblPos val="nextTo"/>
        <c:spPr>
          <a:noFill/>
          <a:ln w="9525" cap="flat" cmpd="sng" algn="ctr">
            <a:solidFill>
              <a:schemeClr val="accent4">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7929984"/>
        <c:crosses val="autoZero"/>
        <c:auto val="1"/>
        <c:lblAlgn val="ctr"/>
        <c:lblOffset val="100"/>
        <c:noMultiLvlLbl val="0"/>
      </c:catAx>
      <c:valAx>
        <c:axId val="11792998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79295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6.xml"/><Relationship Id="rId18" Type="http://schemas.openxmlformats.org/officeDocument/2006/relationships/image" Target="../media/image8.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chart" Target="../charts/chart5.xml"/><Relationship Id="rId17" Type="http://schemas.openxmlformats.org/officeDocument/2006/relationships/chart" Target="../charts/chart8.xml"/><Relationship Id="rId2" Type="http://schemas.openxmlformats.org/officeDocument/2006/relationships/image" Target="../media/image2.png"/><Relationship Id="rId16" Type="http://schemas.openxmlformats.org/officeDocument/2006/relationships/hyperlink" Target="#'Avg Satisfaction Score'!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svg"/><Relationship Id="rId15" Type="http://schemas.openxmlformats.org/officeDocument/2006/relationships/chart" Target="../charts/chart7.xml"/><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hyperlink" Target="#'Average of Paient Waittime'!A1"/></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9.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absolute">
    <xdr:from>
      <xdr:col>1</xdr:col>
      <xdr:colOff>1027045</xdr:colOff>
      <xdr:row>47</xdr:row>
      <xdr:rowOff>172279</xdr:rowOff>
    </xdr:from>
    <xdr:to>
      <xdr:col>2</xdr:col>
      <xdr:colOff>682487</xdr:colOff>
      <xdr:row>49</xdr:row>
      <xdr:rowOff>178905</xdr:rowOff>
    </xdr:to>
    <xdr:graphicFrame macro="">
      <xdr:nvGraphicFramePr>
        <xdr:cNvPr id="6" name="Chart 5">
          <a:extLst>
            <a:ext uri="{FF2B5EF4-FFF2-40B4-BE49-F238E27FC236}">
              <a16:creationId xmlns:a16="http://schemas.microsoft.com/office/drawing/2014/main" id="{7AE0040D-C3E4-C144-6601-6648F97EC6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383452</xdr:colOff>
      <xdr:row>0</xdr:row>
      <xdr:rowOff>165100</xdr:rowOff>
    </xdr:from>
    <xdr:to>
      <xdr:col>6</xdr:col>
      <xdr:colOff>258761</xdr:colOff>
      <xdr:row>3</xdr:row>
      <xdr:rowOff>114300</xdr:rowOff>
    </xdr:to>
    <xdr:sp macro="" textlink="">
      <xdr:nvSpPr>
        <xdr:cNvPr id="2" name="Rectangle: Rounded Corners 1">
          <a:extLst>
            <a:ext uri="{FF2B5EF4-FFF2-40B4-BE49-F238E27FC236}">
              <a16:creationId xmlns:a16="http://schemas.microsoft.com/office/drawing/2014/main" id="{FD62A546-4B59-F600-6BBE-5A8136DBB12C}"/>
            </a:ext>
          </a:extLst>
        </xdr:cNvPr>
        <xdr:cNvSpPr/>
      </xdr:nvSpPr>
      <xdr:spPr>
        <a:xfrm>
          <a:off x="993052" y="165100"/>
          <a:ext cx="2923309" cy="492125"/>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282735</xdr:colOff>
      <xdr:row>0</xdr:row>
      <xdr:rowOff>164739</xdr:rowOff>
    </xdr:from>
    <xdr:to>
      <xdr:col>8</xdr:col>
      <xdr:colOff>290512</xdr:colOff>
      <xdr:row>3</xdr:row>
      <xdr:rowOff>112118</xdr:rowOff>
    </xdr:to>
    <xdr:sp macro="" textlink="">
      <xdr:nvSpPr>
        <xdr:cNvPr id="3" name="Rectangle: Rounded Corners 2">
          <a:extLst>
            <a:ext uri="{FF2B5EF4-FFF2-40B4-BE49-F238E27FC236}">
              <a16:creationId xmlns:a16="http://schemas.microsoft.com/office/drawing/2014/main" id="{8F4E4A0D-41FA-3A09-A7EC-E13872BE7536}"/>
            </a:ext>
          </a:extLst>
        </xdr:cNvPr>
        <xdr:cNvSpPr/>
      </xdr:nvSpPr>
      <xdr:spPr>
        <a:xfrm>
          <a:off x="3940335" y="164739"/>
          <a:ext cx="1226977" cy="490304"/>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342033</xdr:colOff>
      <xdr:row>0</xdr:row>
      <xdr:rowOff>169864</xdr:rowOff>
    </xdr:from>
    <xdr:to>
      <xdr:col>10</xdr:col>
      <xdr:colOff>420749</xdr:colOff>
      <xdr:row>8</xdr:row>
      <xdr:rowOff>2741</xdr:rowOff>
    </xdr:to>
    <xdr:sp macro="" textlink="">
      <xdr:nvSpPr>
        <xdr:cNvPr id="4" name="Rectangle: Rounded Corners 3">
          <a:extLst>
            <a:ext uri="{FF2B5EF4-FFF2-40B4-BE49-F238E27FC236}">
              <a16:creationId xmlns:a16="http://schemas.microsoft.com/office/drawing/2014/main" id="{B762670C-70DF-D1CD-8BBB-FED4F2DFB696}"/>
            </a:ext>
          </a:extLst>
        </xdr:cNvPr>
        <xdr:cNvSpPr/>
      </xdr:nvSpPr>
      <xdr:spPr>
        <a:xfrm>
          <a:off x="5218833" y="169864"/>
          <a:ext cx="1297916" cy="1280677"/>
        </a:xfrm>
        <a:prstGeom prst="roundRect">
          <a:avLst>
            <a:gd name="adj" fmla="val 627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absolute">
    <xdr:from>
      <xdr:col>10</xdr:col>
      <xdr:colOff>457478</xdr:colOff>
      <xdr:row>0</xdr:row>
      <xdr:rowOff>160845</xdr:rowOff>
    </xdr:from>
    <xdr:to>
      <xdr:col>12</xdr:col>
      <xdr:colOff>536193</xdr:colOff>
      <xdr:row>7</xdr:row>
      <xdr:rowOff>174697</xdr:rowOff>
    </xdr:to>
    <xdr:sp macro="" textlink="">
      <xdr:nvSpPr>
        <xdr:cNvPr id="8" name="Rectangle: Rounded Corners 7">
          <a:extLst>
            <a:ext uri="{FF2B5EF4-FFF2-40B4-BE49-F238E27FC236}">
              <a16:creationId xmlns:a16="http://schemas.microsoft.com/office/drawing/2014/main" id="{B2BF01AD-1107-34C5-2D66-15DD8A4617E9}"/>
            </a:ext>
          </a:extLst>
        </xdr:cNvPr>
        <xdr:cNvSpPr/>
      </xdr:nvSpPr>
      <xdr:spPr>
        <a:xfrm>
          <a:off x="6553478" y="160845"/>
          <a:ext cx="1297915" cy="1280677"/>
        </a:xfrm>
        <a:prstGeom prst="roundRect">
          <a:avLst>
            <a:gd name="adj" fmla="val 627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360650</xdr:colOff>
      <xdr:row>3</xdr:row>
      <xdr:rowOff>165099</xdr:rowOff>
    </xdr:from>
    <xdr:to>
      <xdr:col>2</xdr:col>
      <xdr:colOff>416299</xdr:colOff>
      <xdr:row>16</xdr:row>
      <xdr:rowOff>94689</xdr:rowOff>
    </xdr:to>
    <xdr:sp macro="" textlink="">
      <xdr:nvSpPr>
        <xdr:cNvPr id="10" name="Rectangle: Rounded Corners 9">
          <a:extLst>
            <a:ext uri="{FF2B5EF4-FFF2-40B4-BE49-F238E27FC236}">
              <a16:creationId xmlns:a16="http://schemas.microsoft.com/office/drawing/2014/main" id="{DCC0B15C-EEE7-619E-E84C-43E304E73301}"/>
            </a:ext>
          </a:extLst>
        </xdr:cNvPr>
        <xdr:cNvSpPr/>
      </xdr:nvSpPr>
      <xdr:spPr>
        <a:xfrm>
          <a:off x="970250" y="708024"/>
          <a:ext cx="665249" cy="2282265"/>
        </a:xfrm>
        <a:prstGeom prst="roundRect">
          <a:avLst>
            <a:gd name="adj" fmla="val 6131"/>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470187</xdr:colOff>
      <xdr:row>3</xdr:row>
      <xdr:rowOff>161241</xdr:rowOff>
    </xdr:from>
    <xdr:to>
      <xdr:col>4</xdr:col>
      <xdr:colOff>353801</xdr:colOff>
      <xdr:row>8</xdr:row>
      <xdr:rowOff>14287</xdr:rowOff>
    </xdr:to>
    <xdr:sp macro="" textlink="">
      <xdr:nvSpPr>
        <xdr:cNvPr id="11" name="Rectangle: Rounded Corners 10">
          <a:extLst>
            <a:ext uri="{FF2B5EF4-FFF2-40B4-BE49-F238E27FC236}">
              <a16:creationId xmlns:a16="http://schemas.microsoft.com/office/drawing/2014/main" id="{36BA5BAC-C5DF-1E07-15D6-36B74DEAB5C0}"/>
            </a:ext>
          </a:extLst>
        </xdr:cNvPr>
        <xdr:cNvSpPr/>
      </xdr:nvSpPr>
      <xdr:spPr>
        <a:xfrm>
          <a:off x="1689387" y="704166"/>
          <a:ext cx="1102814" cy="757921"/>
        </a:xfrm>
        <a:prstGeom prst="roundRect">
          <a:avLst>
            <a:gd name="adj" fmla="val 613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4</xdr:col>
      <xdr:colOff>440923</xdr:colOff>
      <xdr:row>3</xdr:row>
      <xdr:rowOff>160789</xdr:rowOff>
    </xdr:from>
    <xdr:to>
      <xdr:col>6</xdr:col>
      <xdr:colOff>324537</xdr:colOff>
      <xdr:row>8</xdr:row>
      <xdr:rowOff>13835</xdr:rowOff>
    </xdr:to>
    <xdr:sp macro="" textlink="">
      <xdr:nvSpPr>
        <xdr:cNvPr id="12" name="Rectangle: Rounded Corners 11">
          <a:extLst>
            <a:ext uri="{FF2B5EF4-FFF2-40B4-BE49-F238E27FC236}">
              <a16:creationId xmlns:a16="http://schemas.microsoft.com/office/drawing/2014/main" id="{B01CC3BA-9F94-7787-65E2-97AF28E38BC8}"/>
            </a:ext>
          </a:extLst>
        </xdr:cNvPr>
        <xdr:cNvSpPr/>
      </xdr:nvSpPr>
      <xdr:spPr>
        <a:xfrm>
          <a:off x="2879323" y="703714"/>
          <a:ext cx="1102814" cy="757921"/>
        </a:xfrm>
        <a:prstGeom prst="roundRect">
          <a:avLst>
            <a:gd name="adj" fmla="val 613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373561</xdr:colOff>
      <xdr:row>3</xdr:row>
      <xdr:rowOff>146050</xdr:rowOff>
    </xdr:from>
    <xdr:to>
      <xdr:col>8</xdr:col>
      <xdr:colOff>295275</xdr:colOff>
      <xdr:row>7</xdr:row>
      <xdr:rowOff>180071</xdr:rowOff>
    </xdr:to>
    <xdr:sp macro="" textlink="">
      <xdr:nvSpPr>
        <xdr:cNvPr id="13" name="Rectangle: Rounded Corners 12">
          <a:extLst>
            <a:ext uri="{FF2B5EF4-FFF2-40B4-BE49-F238E27FC236}">
              <a16:creationId xmlns:a16="http://schemas.microsoft.com/office/drawing/2014/main" id="{34AEE082-D596-E843-E44D-EBC9256F16C4}"/>
            </a:ext>
          </a:extLst>
        </xdr:cNvPr>
        <xdr:cNvSpPr/>
      </xdr:nvSpPr>
      <xdr:spPr>
        <a:xfrm>
          <a:off x="4031161" y="688975"/>
          <a:ext cx="1140914" cy="757921"/>
        </a:xfrm>
        <a:prstGeom prst="roundRect">
          <a:avLst>
            <a:gd name="adj" fmla="val 613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2</xdr:col>
      <xdr:colOff>470185</xdr:colOff>
      <xdr:row>11</xdr:row>
      <xdr:rowOff>0</xdr:rowOff>
    </xdr:from>
    <xdr:to>
      <xdr:col>8</xdr:col>
      <xdr:colOff>304800</xdr:colOff>
      <xdr:row>16</xdr:row>
      <xdr:rowOff>80963</xdr:rowOff>
    </xdr:to>
    <xdr:sp macro="" textlink="">
      <xdr:nvSpPr>
        <xdr:cNvPr id="19" name="Rectangle: Rounded Corners 18">
          <a:extLst>
            <a:ext uri="{FF2B5EF4-FFF2-40B4-BE49-F238E27FC236}">
              <a16:creationId xmlns:a16="http://schemas.microsoft.com/office/drawing/2014/main" id="{B2EA71A9-FC07-AB78-0D52-4E613D3F7399}"/>
            </a:ext>
          </a:extLst>
        </xdr:cNvPr>
        <xdr:cNvSpPr/>
      </xdr:nvSpPr>
      <xdr:spPr>
        <a:xfrm>
          <a:off x="1689385" y="1990725"/>
          <a:ext cx="3492215" cy="985838"/>
        </a:xfrm>
        <a:prstGeom prst="roundRect">
          <a:avLst>
            <a:gd name="adj" fmla="val 4183"/>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470185</xdr:colOff>
      <xdr:row>8</xdr:row>
      <xdr:rowOff>47625</xdr:rowOff>
    </xdr:from>
    <xdr:to>
      <xdr:col>8</xdr:col>
      <xdr:colOff>304800</xdr:colOff>
      <xdr:row>10</xdr:row>
      <xdr:rowOff>152401</xdr:rowOff>
    </xdr:to>
    <xdr:sp macro="" textlink="">
      <xdr:nvSpPr>
        <xdr:cNvPr id="20" name="Rectangle: Rounded Corners 19">
          <a:extLst>
            <a:ext uri="{FF2B5EF4-FFF2-40B4-BE49-F238E27FC236}">
              <a16:creationId xmlns:a16="http://schemas.microsoft.com/office/drawing/2014/main" id="{4BF0C5F0-8D75-D370-C6BB-4985FFA5BC6A}"/>
            </a:ext>
          </a:extLst>
        </xdr:cNvPr>
        <xdr:cNvSpPr/>
      </xdr:nvSpPr>
      <xdr:spPr>
        <a:xfrm>
          <a:off x="1689385" y="1495425"/>
          <a:ext cx="3492215" cy="466726"/>
        </a:xfrm>
        <a:prstGeom prst="roundRect">
          <a:avLst>
            <a:gd name="adj" fmla="val 4183"/>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523875</xdr:colOff>
      <xdr:row>0</xdr:row>
      <xdr:rowOff>142875</xdr:rowOff>
    </xdr:from>
    <xdr:to>
      <xdr:col>12</xdr:col>
      <xdr:colOff>542925</xdr:colOff>
      <xdr:row>16</xdr:row>
      <xdr:rowOff>61913</xdr:rowOff>
    </xdr:to>
    <xdr:cxnSp macro="">
      <xdr:nvCxnSpPr>
        <xdr:cNvPr id="36" name="Straight Connector 35">
          <a:extLst>
            <a:ext uri="{FF2B5EF4-FFF2-40B4-BE49-F238E27FC236}">
              <a16:creationId xmlns:a16="http://schemas.microsoft.com/office/drawing/2014/main" id="{9E383CE0-4264-D5C7-E767-D8FBDA7A7204}"/>
            </a:ext>
          </a:extLst>
        </xdr:cNvPr>
        <xdr:cNvCxnSpPr/>
      </xdr:nvCxnSpPr>
      <xdr:spPr>
        <a:xfrm>
          <a:off x="7839075" y="142875"/>
          <a:ext cx="19050" cy="28146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357188</xdr:colOff>
      <xdr:row>8</xdr:row>
      <xdr:rowOff>32257</xdr:rowOff>
    </xdr:from>
    <xdr:to>
      <xdr:col>12</xdr:col>
      <xdr:colOff>555243</xdr:colOff>
      <xdr:row>16</xdr:row>
      <xdr:rowOff>52388</xdr:rowOff>
    </xdr:to>
    <xdr:sp macro="" textlink="">
      <xdr:nvSpPr>
        <xdr:cNvPr id="38" name="Rectangle: Rounded Corners 37">
          <a:extLst>
            <a:ext uri="{FF2B5EF4-FFF2-40B4-BE49-F238E27FC236}">
              <a16:creationId xmlns:a16="http://schemas.microsoft.com/office/drawing/2014/main" id="{D00D9920-ADAB-6A10-2DEB-000ACE9B44DC}"/>
            </a:ext>
          </a:extLst>
        </xdr:cNvPr>
        <xdr:cNvSpPr/>
      </xdr:nvSpPr>
      <xdr:spPr>
        <a:xfrm>
          <a:off x="5233988" y="1480057"/>
          <a:ext cx="2636455" cy="1467931"/>
        </a:xfrm>
        <a:prstGeom prst="roundRect">
          <a:avLst>
            <a:gd name="adj" fmla="val 627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319089</xdr:colOff>
      <xdr:row>1</xdr:row>
      <xdr:rowOff>9524</xdr:rowOff>
    </xdr:from>
    <xdr:to>
      <xdr:col>6</xdr:col>
      <xdr:colOff>38101</xdr:colOff>
      <xdr:row>2</xdr:row>
      <xdr:rowOff>85725</xdr:rowOff>
    </xdr:to>
    <xdr:sp macro="" textlink="">
      <xdr:nvSpPr>
        <xdr:cNvPr id="41" name="TextBox 40">
          <a:extLst>
            <a:ext uri="{FF2B5EF4-FFF2-40B4-BE49-F238E27FC236}">
              <a16:creationId xmlns:a16="http://schemas.microsoft.com/office/drawing/2014/main" id="{5DE13538-E23E-63C8-C809-06FFC1C964AB}"/>
            </a:ext>
          </a:extLst>
        </xdr:cNvPr>
        <xdr:cNvSpPr txBox="1"/>
      </xdr:nvSpPr>
      <xdr:spPr>
        <a:xfrm>
          <a:off x="1538289" y="190499"/>
          <a:ext cx="2157412" cy="25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IN" sz="1100">
              <a:ln>
                <a:noFill/>
              </a:ln>
              <a:solidFill>
                <a:schemeClr val="tx1"/>
              </a:solidFill>
            </a:rPr>
            <a:t>Hospital</a:t>
          </a:r>
          <a:r>
            <a:rPr lang="en-IN" sz="1100" baseline="0">
              <a:ln>
                <a:noFill/>
              </a:ln>
              <a:solidFill>
                <a:schemeClr val="tx1"/>
              </a:solidFill>
            </a:rPr>
            <a:t> Emergency Room Dashboard</a:t>
          </a:r>
          <a:endParaRPr lang="en-IN" sz="1100">
            <a:ln>
              <a:noFill/>
            </a:ln>
            <a:solidFill>
              <a:schemeClr val="tx1"/>
            </a:solidFill>
          </a:endParaRPr>
        </a:p>
      </xdr:txBody>
    </xdr:sp>
    <xdr:clientData/>
  </xdr:twoCellAnchor>
  <xdr:twoCellAnchor editAs="oneCell">
    <xdr:from>
      <xdr:col>1</xdr:col>
      <xdr:colOff>447674</xdr:colOff>
      <xdr:row>1</xdr:row>
      <xdr:rowOff>61911</xdr:rowOff>
    </xdr:from>
    <xdr:to>
      <xdr:col>2</xdr:col>
      <xdr:colOff>276225</xdr:colOff>
      <xdr:row>3</xdr:row>
      <xdr:rowOff>57150</xdr:rowOff>
    </xdr:to>
    <xdr:pic>
      <xdr:nvPicPr>
        <xdr:cNvPr id="43" name="Picture 42">
          <a:extLst>
            <a:ext uri="{FF2B5EF4-FFF2-40B4-BE49-F238E27FC236}">
              <a16:creationId xmlns:a16="http://schemas.microsoft.com/office/drawing/2014/main" id="{103BA294-1D4B-60AE-5841-4DF55F8B632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739" t="11222" r="21118" b="12247"/>
        <a:stretch>
          <a:fillRect/>
        </a:stretch>
      </xdr:blipFill>
      <xdr:spPr>
        <a:xfrm>
          <a:off x="1057274" y="242886"/>
          <a:ext cx="438151" cy="357189"/>
        </a:xfrm>
        <a:prstGeom prst="rect">
          <a:avLst/>
        </a:prstGeom>
      </xdr:spPr>
    </xdr:pic>
    <xdr:clientData/>
  </xdr:twoCellAnchor>
  <xdr:twoCellAnchor editAs="absolute">
    <xdr:from>
      <xdr:col>2</xdr:col>
      <xdr:colOff>538161</xdr:colOff>
      <xdr:row>4</xdr:row>
      <xdr:rowOff>71437</xdr:rowOff>
    </xdr:from>
    <xdr:to>
      <xdr:col>4</xdr:col>
      <xdr:colOff>361948</xdr:colOff>
      <xdr:row>5</xdr:row>
      <xdr:rowOff>90487</xdr:rowOff>
    </xdr:to>
    <xdr:sp macro="" textlink="">
      <xdr:nvSpPr>
        <xdr:cNvPr id="44" name="TextBox 43">
          <a:extLst>
            <a:ext uri="{FF2B5EF4-FFF2-40B4-BE49-F238E27FC236}">
              <a16:creationId xmlns:a16="http://schemas.microsoft.com/office/drawing/2014/main" id="{A7BE8E8C-A843-331B-3CCB-BD9F42354305}"/>
            </a:ext>
          </a:extLst>
        </xdr:cNvPr>
        <xdr:cNvSpPr txBox="1"/>
      </xdr:nvSpPr>
      <xdr:spPr>
        <a:xfrm>
          <a:off x="1757361" y="795337"/>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IN" sz="1050">
              <a:ln>
                <a:noFill/>
              </a:ln>
              <a:solidFill>
                <a:schemeClr val="dk1"/>
              </a:solidFill>
            </a:rPr>
            <a:t>Monthly</a:t>
          </a:r>
          <a:r>
            <a:rPr lang="en-IN" sz="1050" baseline="0">
              <a:ln>
                <a:noFill/>
              </a:ln>
              <a:solidFill>
                <a:schemeClr val="dk1"/>
              </a:solidFill>
            </a:rPr>
            <a:t> Report</a:t>
          </a:r>
          <a:endParaRPr lang="en-IN" sz="1050">
            <a:ln>
              <a:noFill/>
            </a:ln>
            <a:solidFill>
              <a:schemeClr val="dk1"/>
            </a:solidFill>
          </a:endParaRPr>
        </a:p>
      </xdr:txBody>
    </xdr:sp>
    <xdr:clientData/>
  </xdr:twoCellAnchor>
  <xdr:twoCellAnchor editAs="absolute">
    <xdr:from>
      <xdr:col>2</xdr:col>
      <xdr:colOff>479712</xdr:colOff>
      <xdr:row>3</xdr:row>
      <xdr:rowOff>166004</xdr:rowOff>
    </xdr:from>
    <xdr:to>
      <xdr:col>4</xdr:col>
      <xdr:colOff>363326</xdr:colOff>
      <xdr:row>8</xdr:row>
      <xdr:rowOff>19050</xdr:rowOff>
    </xdr:to>
    <xdr:sp macro="" textlink="">
      <xdr:nvSpPr>
        <xdr:cNvPr id="46" name="Rectangle: Rounded Corners 45">
          <a:extLst>
            <a:ext uri="{FF2B5EF4-FFF2-40B4-BE49-F238E27FC236}">
              <a16:creationId xmlns:a16="http://schemas.microsoft.com/office/drawing/2014/main" id="{F616426E-105A-CC7F-953E-643ED98C05E9}"/>
            </a:ext>
          </a:extLst>
        </xdr:cNvPr>
        <xdr:cNvSpPr/>
      </xdr:nvSpPr>
      <xdr:spPr>
        <a:xfrm>
          <a:off x="1698912" y="708929"/>
          <a:ext cx="1102814" cy="757921"/>
        </a:xfrm>
        <a:prstGeom prst="roundRect">
          <a:avLst>
            <a:gd name="adj" fmla="val 6131"/>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523874</xdr:colOff>
      <xdr:row>4</xdr:row>
      <xdr:rowOff>57150</xdr:rowOff>
    </xdr:from>
    <xdr:to>
      <xdr:col>4</xdr:col>
      <xdr:colOff>347661</xdr:colOff>
      <xdr:row>5</xdr:row>
      <xdr:rowOff>76200</xdr:rowOff>
    </xdr:to>
    <xdr:sp macro="" textlink="'Pivot Report'!A5">
      <xdr:nvSpPr>
        <xdr:cNvPr id="47" name="TextBox 46">
          <a:extLst>
            <a:ext uri="{FF2B5EF4-FFF2-40B4-BE49-F238E27FC236}">
              <a16:creationId xmlns:a16="http://schemas.microsoft.com/office/drawing/2014/main" id="{36BC6B76-A45F-64C3-5E03-4EF854DE3E9F}"/>
            </a:ext>
          </a:extLst>
        </xdr:cNvPr>
        <xdr:cNvSpPr txBox="1"/>
      </xdr:nvSpPr>
      <xdr:spPr>
        <a:xfrm>
          <a:off x="1743074" y="781050"/>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fld id="{E950AEB5-B60F-4749-A7E0-0EEFB4A917E9}" type="TxLink">
            <a:rPr lang="en-US" sz="800" b="0" i="0" u="none" strike="noStrike">
              <a:ln>
                <a:noFill/>
              </a:ln>
              <a:solidFill>
                <a:srgbClr val="000000"/>
              </a:solidFill>
              <a:latin typeface="Calibri"/>
              <a:ea typeface="Calibri"/>
              <a:cs typeface="Calibri"/>
            </a:rPr>
            <a:pPr algn="ctr"/>
            <a:t>469</a:t>
          </a:fld>
          <a:endParaRPr lang="en-US" sz="800">
            <a:ln>
              <a:noFill/>
            </a:ln>
          </a:endParaRPr>
        </a:p>
      </xdr:txBody>
    </xdr:sp>
    <xdr:clientData/>
  </xdr:twoCellAnchor>
  <xdr:twoCellAnchor editAs="absolute">
    <xdr:from>
      <xdr:col>2</xdr:col>
      <xdr:colOff>519111</xdr:colOff>
      <xdr:row>5</xdr:row>
      <xdr:rowOff>61912</xdr:rowOff>
    </xdr:from>
    <xdr:to>
      <xdr:col>4</xdr:col>
      <xdr:colOff>342898</xdr:colOff>
      <xdr:row>6</xdr:row>
      <xdr:rowOff>80962</xdr:rowOff>
    </xdr:to>
    <xdr:sp macro="" textlink="">
      <xdr:nvSpPr>
        <xdr:cNvPr id="48" name="TextBox 47">
          <a:extLst>
            <a:ext uri="{FF2B5EF4-FFF2-40B4-BE49-F238E27FC236}">
              <a16:creationId xmlns:a16="http://schemas.microsoft.com/office/drawing/2014/main" id="{71AB83DE-488E-8840-E0F3-E8774F7FD27C}"/>
            </a:ext>
          </a:extLst>
        </xdr:cNvPr>
        <xdr:cNvSpPr txBox="1"/>
      </xdr:nvSpPr>
      <xdr:spPr>
        <a:xfrm>
          <a:off x="1738311" y="966787"/>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No.</a:t>
          </a:r>
          <a:r>
            <a:rPr lang="en-IN" sz="800" baseline="0">
              <a:ln>
                <a:noFill/>
              </a:ln>
              <a:solidFill>
                <a:schemeClr val="dk1"/>
              </a:solidFill>
            </a:rPr>
            <a:t> of Patient</a:t>
          </a:r>
          <a:endParaRPr lang="en-IN" sz="800">
            <a:ln>
              <a:noFill/>
            </a:ln>
            <a:solidFill>
              <a:schemeClr val="dk1"/>
            </a:solidFill>
          </a:endParaRPr>
        </a:p>
      </xdr:txBody>
    </xdr:sp>
    <xdr:clientData/>
  </xdr:twoCellAnchor>
  <xdr:twoCellAnchor editAs="absolute">
    <xdr:from>
      <xdr:col>4</xdr:col>
      <xdr:colOff>461961</xdr:colOff>
      <xdr:row>5</xdr:row>
      <xdr:rowOff>47624</xdr:rowOff>
    </xdr:from>
    <xdr:to>
      <xdr:col>6</xdr:col>
      <xdr:colOff>285748</xdr:colOff>
      <xdr:row>6</xdr:row>
      <xdr:rowOff>66674</xdr:rowOff>
    </xdr:to>
    <xdr:sp macro="" textlink="">
      <xdr:nvSpPr>
        <xdr:cNvPr id="49" name="TextBox 48">
          <a:extLst>
            <a:ext uri="{FF2B5EF4-FFF2-40B4-BE49-F238E27FC236}">
              <a16:creationId xmlns:a16="http://schemas.microsoft.com/office/drawing/2014/main" id="{5D6EE0B6-61E3-94FB-4AD1-1BC570429950}"/>
            </a:ext>
          </a:extLst>
        </xdr:cNvPr>
        <xdr:cNvSpPr txBox="1"/>
      </xdr:nvSpPr>
      <xdr:spPr>
        <a:xfrm>
          <a:off x="2900361" y="952499"/>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Average</a:t>
          </a:r>
          <a:r>
            <a:rPr lang="en-IN" sz="800" baseline="0">
              <a:ln>
                <a:noFill/>
              </a:ln>
              <a:solidFill>
                <a:schemeClr val="dk1"/>
              </a:solidFill>
            </a:rPr>
            <a:t> Weight Time</a:t>
          </a:r>
          <a:endParaRPr lang="en-IN" sz="800">
            <a:ln>
              <a:noFill/>
            </a:ln>
            <a:solidFill>
              <a:schemeClr val="dk1"/>
            </a:solidFill>
          </a:endParaRPr>
        </a:p>
      </xdr:txBody>
    </xdr:sp>
    <xdr:clientData/>
  </xdr:twoCellAnchor>
  <xdr:twoCellAnchor editAs="absolute">
    <xdr:from>
      <xdr:col>6</xdr:col>
      <xdr:colOff>428623</xdr:colOff>
      <xdr:row>5</xdr:row>
      <xdr:rowOff>52386</xdr:rowOff>
    </xdr:from>
    <xdr:to>
      <xdr:col>8</xdr:col>
      <xdr:colOff>252410</xdr:colOff>
      <xdr:row>6</xdr:row>
      <xdr:rowOff>71436</xdr:rowOff>
    </xdr:to>
    <xdr:sp macro="" textlink="">
      <xdr:nvSpPr>
        <xdr:cNvPr id="50" name="TextBox 49">
          <a:extLst>
            <a:ext uri="{FF2B5EF4-FFF2-40B4-BE49-F238E27FC236}">
              <a16:creationId xmlns:a16="http://schemas.microsoft.com/office/drawing/2014/main" id="{875DC519-5020-0064-EDC6-E5C08D20C2B5}"/>
            </a:ext>
          </a:extLst>
        </xdr:cNvPr>
        <xdr:cNvSpPr txBox="1"/>
      </xdr:nvSpPr>
      <xdr:spPr>
        <a:xfrm>
          <a:off x="4086223" y="957261"/>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Patient</a:t>
          </a:r>
          <a:r>
            <a:rPr lang="en-IN" sz="600" baseline="0">
              <a:ln>
                <a:noFill/>
              </a:ln>
              <a:solidFill>
                <a:schemeClr val="dk1"/>
              </a:solidFill>
            </a:rPr>
            <a:t> </a:t>
          </a:r>
          <a:r>
            <a:rPr lang="en-IN" sz="800" baseline="0">
              <a:ln>
                <a:noFill/>
              </a:ln>
              <a:solidFill>
                <a:schemeClr val="dk1"/>
              </a:solidFill>
            </a:rPr>
            <a:t>Satisfaction</a:t>
          </a:r>
          <a:r>
            <a:rPr lang="en-IN" sz="600" baseline="0">
              <a:ln>
                <a:noFill/>
              </a:ln>
              <a:solidFill>
                <a:schemeClr val="dk1"/>
              </a:solidFill>
            </a:rPr>
            <a:t> </a:t>
          </a:r>
          <a:r>
            <a:rPr lang="en-IN" sz="800" baseline="0">
              <a:ln>
                <a:noFill/>
              </a:ln>
              <a:solidFill>
                <a:schemeClr val="dk1"/>
              </a:solidFill>
            </a:rPr>
            <a:t>Score</a:t>
          </a:r>
        </a:p>
        <a:p>
          <a:pPr algn="ctr"/>
          <a:endParaRPr lang="en-IN" sz="600">
            <a:ln>
              <a:noFill/>
            </a:ln>
            <a:solidFill>
              <a:schemeClr val="dk1"/>
            </a:solidFill>
          </a:endParaRPr>
        </a:p>
      </xdr:txBody>
    </xdr:sp>
    <xdr:clientData/>
  </xdr:twoCellAnchor>
  <xdr:twoCellAnchor editAs="absolute">
    <xdr:from>
      <xdr:col>4</xdr:col>
      <xdr:colOff>452436</xdr:colOff>
      <xdr:row>4</xdr:row>
      <xdr:rowOff>42861</xdr:rowOff>
    </xdr:from>
    <xdr:to>
      <xdr:col>6</xdr:col>
      <xdr:colOff>276223</xdr:colOff>
      <xdr:row>5</xdr:row>
      <xdr:rowOff>61911</xdr:rowOff>
    </xdr:to>
    <xdr:sp macro="" textlink="">
      <xdr:nvSpPr>
        <xdr:cNvPr id="56" name="TextBox 55">
          <a:extLst>
            <a:ext uri="{FF2B5EF4-FFF2-40B4-BE49-F238E27FC236}">
              <a16:creationId xmlns:a16="http://schemas.microsoft.com/office/drawing/2014/main" id="{27275F2E-CADE-4418-437C-DB512026639F}"/>
            </a:ext>
          </a:extLst>
        </xdr:cNvPr>
        <xdr:cNvSpPr txBox="1"/>
      </xdr:nvSpPr>
      <xdr:spPr>
        <a:xfrm>
          <a:off x="2890836" y="766761"/>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endParaRPr lang="en-IN" sz="1050">
            <a:ln>
              <a:noFill/>
            </a:ln>
            <a:solidFill>
              <a:schemeClr val="dk1"/>
            </a:solidFill>
          </a:endParaRPr>
        </a:p>
      </xdr:txBody>
    </xdr:sp>
    <xdr:clientData/>
  </xdr:twoCellAnchor>
  <xdr:twoCellAnchor editAs="absolute">
    <xdr:from>
      <xdr:col>4</xdr:col>
      <xdr:colOff>461961</xdr:colOff>
      <xdr:row>4</xdr:row>
      <xdr:rowOff>42862</xdr:rowOff>
    </xdr:from>
    <xdr:to>
      <xdr:col>6</xdr:col>
      <xdr:colOff>285748</xdr:colOff>
      <xdr:row>5</xdr:row>
      <xdr:rowOff>61912</xdr:rowOff>
    </xdr:to>
    <xdr:sp macro="" textlink="'Pivot Report'!A9">
      <xdr:nvSpPr>
        <xdr:cNvPr id="57" name="TextBox 56">
          <a:extLst>
            <a:ext uri="{FF2B5EF4-FFF2-40B4-BE49-F238E27FC236}">
              <a16:creationId xmlns:a16="http://schemas.microsoft.com/office/drawing/2014/main" id="{E0B7BB08-A293-5673-260B-EF3DE3978890}"/>
            </a:ext>
          </a:extLst>
        </xdr:cNvPr>
        <xdr:cNvSpPr txBox="1"/>
      </xdr:nvSpPr>
      <xdr:spPr>
        <a:xfrm>
          <a:off x="2900361" y="766762"/>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fld id="{2A22591B-399F-49F4-BA53-3659BDB4BB3F}" type="TxLink">
            <a:rPr lang="en-US" sz="800" b="0" i="0" u="none" strike="noStrike">
              <a:ln>
                <a:noFill/>
              </a:ln>
              <a:solidFill>
                <a:srgbClr val="000000"/>
              </a:solidFill>
              <a:latin typeface="Calibri"/>
              <a:ea typeface="Calibri"/>
              <a:cs typeface="Calibri"/>
            </a:rPr>
            <a:t>35.04</a:t>
          </a:fld>
          <a:endParaRPr lang="en-US" sz="800">
            <a:ln>
              <a:noFill/>
            </a:ln>
          </a:endParaRPr>
        </a:p>
      </xdr:txBody>
    </xdr:sp>
    <xdr:clientData/>
  </xdr:twoCellAnchor>
  <xdr:twoCellAnchor editAs="absolute">
    <xdr:from>
      <xdr:col>6</xdr:col>
      <xdr:colOff>414336</xdr:colOff>
      <xdr:row>4</xdr:row>
      <xdr:rowOff>38099</xdr:rowOff>
    </xdr:from>
    <xdr:to>
      <xdr:col>8</xdr:col>
      <xdr:colOff>238123</xdr:colOff>
      <xdr:row>5</xdr:row>
      <xdr:rowOff>57149</xdr:rowOff>
    </xdr:to>
    <xdr:sp macro="" textlink="'Pivot Report'!A13">
      <xdr:nvSpPr>
        <xdr:cNvPr id="58" name="TextBox 57">
          <a:extLst>
            <a:ext uri="{FF2B5EF4-FFF2-40B4-BE49-F238E27FC236}">
              <a16:creationId xmlns:a16="http://schemas.microsoft.com/office/drawing/2014/main" id="{5E30D73C-E8C2-5394-3611-F9C2D96E70AB}"/>
            </a:ext>
          </a:extLst>
        </xdr:cNvPr>
        <xdr:cNvSpPr txBox="1"/>
      </xdr:nvSpPr>
      <xdr:spPr>
        <a:xfrm>
          <a:off x="4071936" y="761999"/>
          <a:ext cx="1042987" cy="200025"/>
        </a:xfrm>
        <a:prstGeom prst="rect">
          <a:avLst/>
        </a:prstGeom>
        <a:solidFill>
          <a:schemeClr val="accent4">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pPr algn="ctr"/>
          <a:fld id="{96D79A6B-236D-4CBA-BECF-0938B1EA390C}" type="TxLink">
            <a:rPr lang="en-US" sz="800" b="0" i="0" u="none" strike="noStrike">
              <a:ln>
                <a:noFill/>
              </a:ln>
              <a:solidFill>
                <a:srgbClr val="000000"/>
              </a:solidFill>
              <a:latin typeface="Calibri"/>
              <a:ea typeface="Calibri"/>
              <a:cs typeface="Calibri"/>
            </a:rPr>
            <a:t>4.63</a:t>
          </a:fld>
          <a:endParaRPr lang="en-US" sz="800">
            <a:ln>
              <a:noFill/>
            </a:ln>
          </a:endParaRPr>
        </a:p>
      </xdr:txBody>
    </xdr:sp>
    <xdr:clientData/>
  </xdr:twoCellAnchor>
  <xdr:twoCellAnchor editAs="oneCell">
    <xdr:from>
      <xdr:col>6</xdr:col>
      <xdr:colOff>61916</xdr:colOff>
      <xdr:row>3</xdr:row>
      <xdr:rowOff>176214</xdr:rowOff>
    </xdr:from>
    <xdr:to>
      <xdr:col>6</xdr:col>
      <xdr:colOff>285750</xdr:colOff>
      <xdr:row>5</xdr:row>
      <xdr:rowOff>38098</xdr:rowOff>
    </xdr:to>
    <xdr:pic>
      <xdr:nvPicPr>
        <xdr:cNvPr id="60" name="Graphic 59" descr="Hourglass Finished with solid fill">
          <a:extLst>
            <a:ext uri="{FF2B5EF4-FFF2-40B4-BE49-F238E27FC236}">
              <a16:creationId xmlns:a16="http://schemas.microsoft.com/office/drawing/2014/main" id="{FF785E45-6911-04B8-E3B5-745F69617D1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719516" y="719139"/>
          <a:ext cx="223834" cy="223834"/>
        </a:xfrm>
        <a:prstGeom prst="rect">
          <a:avLst/>
        </a:prstGeom>
      </xdr:spPr>
    </xdr:pic>
    <xdr:clientData/>
  </xdr:twoCellAnchor>
  <xdr:twoCellAnchor editAs="oneCell">
    <xdr:from>
      <xdr:col>8</xdr:col>
      <xdr:colOff>11889</xdr:colOff>
      <xdr:row>4</xdr:row>
      <xdr:rowOff>1</xdr:rowOff>
    </xdr:from>
    <xdr:to>
      <xdr:col>8</xdr:col>
      <xdr:colOff>272074</xdr:colOff>
      <xdr:row>5</xdr:row>
      <xdr:rowOff>57150</xdr:rowOff>
    </xdr:to>
    <xdr:pic>
      <xdr:nvPicPr>
        <xdr:cNvPr id="62" name="Graphic 61" descr="Customer review with solid fill">
          <a:extLst>
            <a:ext uri="{FF2B5EF4-FFF2-40B4-BE49-F238E27FC236}">
              <a16:creationId xmlns:a16="http://schemas.microsoft.com/office/drawing/2014/main" id="{D40AA4D2-C0E1-2DCE-4CED-CF6A5F058F9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888689" y="723901"/>
          <a:ext cx="260185" cy="238124"/>
        </a:xfrm>
        <a:prstGeom prst="rect">
          <a:avLst/>
        </a:prstGeom>
      </xdr:spPr>
    </xdr:pic>
    <xdr:clientData/>
  </xdr:twoCellAnchor>
  <xdr:twoCellAnchor editAs="oneCell">
    <xdr:from>
      <xdr:col>4</xdr:col>
      <xdr:colOff>95212</xdr:colOff>
      <xdr:row>3</xdr:row>
      <xdr:rowOff>176177</xdr:rowOff>
    </xdr:from>
    <xdr:to>
      <xdr:col>4</xdr:col>
      <xdr:colOff>352425</xdr:colOff>
      <xdr:row>5</xdr:row>
      <xdr:rowOff>71440</xdr:rowOff>
    </xdr:to>
    <xdr:pic>
      <xdr:nvPicPr>
        <xdr:cNvPr id="64" name="Graphic 63" descr="Male profile with solid fill">
          <a:extLst>
            <a:ext uri="{FF2B5EF4-FFF2-40B4-BE49-F238E27FC236}">
              <a16:creationId xmlns:a16="http://schemas.microsoft.com/office/drawing/2014/main" id="{B24BAD43-27BE-4631-9FAD-26945CFDDA8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33612" y="719102"/>
          <a:ext cx="257213" cy="257213"/>
        </a:xfrm>
        <a:prstGeom prst="rect">
          <a:avLst/>
        </a:prstGeom>
      </xdr:spPr>
    </xdr:pic>
    <xdr:clientData/>
  </xdr:twoCellAnchor>
  <xdr:twoCellAnchor editAs="oneCell">
    <xdr:from>
      <xdr:col>1</xdr:col>
      <xdr:colOff>389226</xdr:colOff>
      <xdr:row>4</xdr:row>
      <xdr:rowOff>9525</xdr:rowOff>
    </xdr:from>
    <xdr:to>
      <xdr:col>2</xdr:col>
      <xdr:colOff>391626</xdr:colOff>
      <xdr:row>16</xdr:row>
      <xdr:rowOff>33825</xdr:rowOff>
    </xdr:to>
    <mc:AlternateContent xmlns:mc="http://schemas.openxmlformats.org/markup-compatibility/2006">
      <mc:Choice xmlns:a14="http://schemas.microsoft.com/office/drawing/2010/main" Requires="a14">
        <xdr:graphicFrame macro="">
          <xdr:nvGraphicFramePr>
            <xdr:cNvPr id="65" name="Date (Month)">
              <a:extLst>
                <a:ext uri="{FF2B5EF4-FFF2-40B4-BE49-F238E27FC236}">
                  <a16:creationId xmlns:a16="http://schemas.microsoft.com/office/drawing/2014/main" id="{A53DB812-5213-4CE1-97A6-211540F19F1B}"/>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998826" y="733425"/>
              <a:ext cx="612000" cy="21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500063</xdr:colOff>
      <xdr:row>5</xdr:row>
      <xdr:rowOff>38100</xdr:rowOff>
    </xdr:from>
    <xdr:to>
      <xdr:col>4</xdr:col>
      <xdr:colOff>371475</xdr:colOff>
      <xdr:row>7</xdr:row>
      <xdr:rowOff>176212</xdr:rowOff>
    </xdr:to>
    <xdr:graphicFrame macro="">
      <xdr:nvGraphicFramePr>
        <xdr:cNvPr id="66" name="Chart 65">
          <a:hlinkClick xmlns:r="http://schemas.openxmlformats.org/officeDocument/2006/relationships" r:id="rId8"/>
          <a:extLst>
            <a:ext uri="{FF2B5EF4-FFF2-40B4-BE49-F238E27FC236}">
              <a16:creationId xmlns:a16="http://schemas.microsoft.com/office/drawing/2014/main" id="{82396285-CF4A-4EBB-99D8-FC6A220AD4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xdr:col>
      <xdr:colOff>17748</xdr:colOff>
      <xdr:row>11</xdr:row>
      <xdr:rowOff>80963</xdr:rowOff>
    </xdr:from>
    <xdr:to>
      <xdr:col>8</xdr:col>
      <xdr:colOff>171450</xdr:colOff>
      <xdr:row>17</xdr:row>
      <xdr:rowOff>38100</xdr:rowOff>
    </xdr:to>
    <xdr:graphicFrame macro="">
      <xdr:nvGraphicFramePr>
        <xdr:cNvPr id="73" name="Chart 72">
          <a:extLst>
            <a:ext uri="{FF2B5EF4-FFF2-40B4-BE49-F238E27FC236}">
              <a16:creationId xmlns:a16="http://schemas.microsoft.com/office/drawing/2014/main" id="{86EDE820-1C9A-40EB-99FA-7FA4BC025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361947</xdr:colOff>
      <xdr:row>15</xdr:row>
      <xdr:rowOff>90486</xdr:rowOff>
    </xdr:from>
    <xdr:to>
      <xdr:col>6</xdr:col>
      <xdr:colOff>185734</xdr:colOff>
      <xdr:row>16</xdr:row>
      <xdr:rowOff>109536</xdr:rowOff>
    </xdr:to>
    <xdr:sp macro="" textlink="">
      <xdr:nvSpPr>
        <xdr:cNvPr id="75" name="TextBox 74">
          <a:extLst>
            <a:ext uri="{FF2B5EF4-FFF2-40B4-BE49-F238E27FC236}">
              <a16:creationId xmlns:a16="http://schemas.microsoft.com/office/drawing/2014/main" id="{72C74E69-A752-0589-0C3E-85348016771E}"/>
            </a:ext>
          </a:extLst>
        </xdr:cNvPr>
        <xdr:cNvSpPr txBox="1"/>
      </xdr:nvSpPr>
      <xdr:spPr>
        <a:xfrm>
          <a:off x="2800347" y="2805111"/>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600">
              <a:ln>
                <a:noFill/>
              </a:ln>
              <a:solidFill>
                <a:schemeClr val="dk1"/>
              </a:solidFill>
            </a:rPr>
            <a:t>No. of Patient by Age Group</a:t>
          </a:r>
        </a:p>
      </xdr:txBody>
    </xdr:sp>
    <xdr:clientData/>
  </xdr:twoCellAnchor>
  <xdr:twoCellAnchor>
    <xdr:from>
      <xdr:col>8</xdr:col>
      <xdr:colOff>338139</xdr:colOff>
      <xdr:row>1</xdr:row>
      <xdr:rowOff>14288</xdr:rowOff>
    </xdr:from>
    <xdr:to>
      <xdr:col>10</xdr:col>
      <xdr:colOff>466725</xdr:colOff>
      <xdr:row>8</xdr:row>
      <xdr:rowOff>14288</xdr:rowOff>
    </xdr:to>
    <xdr:graphicFrame macro="">
      <xdr:nvGraphicFramePr>
        <xdr:cNvPr id="79" name="Chart 78">
          <a:extLst>
            <a:ext uri="{FF2B5EF4-FFF2-40B4-BE49-F238E27FC236}">
              <a16:creationId xmlns:a16="http://schemas.microsoft.com/office/drawing/2014/main" id="{04A661BD-2AB9-4A83-9F80-25A834021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471487</xdr:colOff>
      <xdr:row>1</xdr:row>
      <xdr:rowOff>0</xdr:rowOff>
    </xdr:from>
    <xdr:to>
      <xdr:col>12</xdr:col>
      <xdr:colOff>476250</xdr:colOff>
      <xdr:row>7</xdr:row>
      <xdr:rowOff>142876</xdr:rowOff>
    </xdr:to>
    <xdr:graphicFrame macro="">
      <xdr:nvGraphicFramePr>
        <xdr:cNvPr id="80" name="Chart 79">
          <a:extLst>
            <a:ext uri="{FF2B5EF4-FFF2-40B4-BE49-F238E27FC236}">
              <a16:creationId xmlns:a16="http://schemas.microsoft.com/office/drawing/2014/main" id="{2BF1E06F-35E6-4FE8-9BAD-662372438C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8</xdr:col>
      <xdr:colOff>504824</xdr:colOff>
      <xdr:row>6</xdr:row>
      <xdr:rowOff>166687</xdr:rowOff>
    </xdr:from>
    <xdr:to>
      <xdr:col>10</xdr:col>
      <xdr:colOff>328611</xdr:colOff>
      <xdr:row>8</xdr:row>
      <xdr:rowOff>4762</xdr:rowOff>
    </xdr:to>
    <xdr:sp macro="" textlink="">
      <xdr:nvSpPr>
        <xdr:cNvPr id="81" name="TextBox 80">
          <a:extLst>
            <a:ext uri="{FF2B5EF4-FFF2-40B4-BE49-F238E27FC236}">
              <a16:creationId xmlns:a16="http://schemas.microsoft.com/office/drawing/2014/main" id="{7B643F27-C0E4-2FA1-DD74-89B368358D68}"/>
            </a:ext>
          </a:extLst>
        </xdr:cNvPr>
        <xdr:cNvSpPr txBox="1"/>
      </xdr:nvSpPr>
      <xdr:spPr>
        <a:xfrm>
          <a:off x="5381624" y="1252537"/>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Patient</a:t>
          </a:r>
          <a:r>
            <a:rPr lang="en-IN" sz="800" baseline="0">
              <a:ln>
                <a:noFill/>
              </a:ln>
              <a:solidFill>
                <a:schemeClr val="dk1"/>
              </a:solidFill>
            </a:rPr>
            <a:t> Attend Status</a:t>
          </a:r>
          <a:endParaRPr lang="en-IN" sz="800">
            <a:ln>
              <a:noFill/>
            </a:ln>
            <a:solidFill>
              <a:schemeClr val="dk1"/>
            </a:solidFill>
          </a:endParaRPr>
        </a:p>
      </xdr:txBody>
    </xdr:sp>
    <xdr:clientData/>
  </xdr:twoCellAnchor>
  <xdr:twoCellAnchor editAs="absolute">
    <xdr:from>
      <xdr:col>8</xdr:col>
      <xdr:colOff>342900</xdr:colOff>
      <xdr:row>15</xdr:row>
      <xdr:rowOff>71438</xdr:rowOff>
    </xdr:from>
    <xdr:to>
      <xdr:col>12</xdr:col>
      <xdr:colOff>490538</xdr:colOff>
      <xdr:row>16</xdr:row>
      <xdr:rowOff>90488</xdr:rowOff>
    </xdr:to>
    <xdr:sp macro="" textlink="">
      <xdr:nvSpPr>
        <xdr:cNvPr id="82" name="TextBox 81">
          <a:extLst>
            <a:ext uri="{FF2B5EF4-FFF2-40B4-BE49-F238E27FC236}">
              <a16:creationId xmlns:a16="http://schemas.microsoft.com/office/drawing/2014/main" id="{FBAB05CE-96EB-F47C-2DE1-9C2D967349C9}"/>
            </a:ext>
          </a:extLst>
        </xdr:cNvPr>
        <xdr:cNvSpPr txBox="1"/>
      </xdr:nvSpPr>
      <xdr:spPr>
        <a:xfrm>
          <a:off x="5219700" y="2786063"/>
          <a:ext cx="2586038"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No.</a:t>
          </a:r>
          <a:r>
            <a:rPr lang="en-IN" sz="800" baseline="0">
              <a:ln>
                <a:noFill/>
              </a:ln>
              <a:solidFill>
                <a:schemeClr val="dk1"/>
              </a:solidFill>
            </a:rPr>
            <a:t> of Patient by Department Referal</a:t>
          </a:r>
          <a:endParaRPr lang="en-IN" sz="800">
            <a:ln>
              <a:noFill/>
            </a:ln>
            <a:solidFill>
              <a:schemeClr val="dk1"/>
            </a:solidFill>
          </a:endParaRPr>
        </a:p>
      </xdr:txBody>
    </xdr:sp>
    <xdr:clientData/>
  </xdr:twoCellAnchor>
  <xdr:twoCellAnchor editAs="absolute">
    <xdr:from>
      <xdr:col>10</xdr:col>
      <xdr:colOff>590549</xdr:colOff>
      <xdr:row>6</xdr:row>
      <xdr:rowOff>161925</xdr:rowOff>
    </xdr:from>
    <xdr:to>
      <xdr:col>12</xdr:col>
      <xdr:colOff>414336</xdr:colOff>
      <xdr:row>8</xdr:row>
      <xdr:rowOff>0</xdr:rowOff>
    </xdr:to>
    <xdr:sp macro="" textlink="">
      <xdr:nvSpPr>
        <xdr:cNvPr id="83" name="TextBox 82">
          <a:extLst>
            <a:ext uri="{FF2B5EF4-FFF2-40B4-BE49-F238E27FC236}">
              <a16:creationId xmlns:a16="http://schemas.microsoft.com/office/drawing/2014/main" id="{7F6A473E-FED1-59A0-C06C-3248FCF5E1F8}"/>
            </a:ext>
          </a:extLst>
        </xdr:cNvPr>
        <xdr:cNvSpPr txBox="1"/>
      </xdr:nvSpPr>
      <xdr:spPr>
        <a:xfrm>
          <a:off x="6686549" y="1247775"/>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a:ln>
                <a:noFill/>
              </a:ln>
              <a:solidFill>
                <a:schemeClr val="dk1"/>
              </a:solidFill>
            </a:rPr>
            <a:t>Genderwise</a:t>
          </a:r>
          <a:r>
            <a:rPr lang="en-IN" sz="800" baseline="0">
              <a:ln>
                <a:noFill/>
              </a:ln>
              <a:solidFill>
                <a:schemeClr val="dk1"/>
              </a:solidFill>
            </a:rPr>
            <a:t> Analysis</a:t>
          </a:r>
          <a:endParaRPr lang="en-IN" sz="800">
            <a:ln>
              <a:noFill/>
            </a:ln>
            <a:solidFill>
              <a:schemeClr val="dk1"/>
            </a:solidFill>
          </a:endParaRPr>
        </a:p>
      </xdr:txBody>
    </xdr:sp>
    <xdr:clientData/>
  </xdr:twoCellAnchor>
  <xdr:twoCellAnchor>
    <xdr:from>
      <xdr:col>8</xdr:col>
      <xdr:colOff>414339</xdr:colOff>
      <xdr:row>8</xdr:row>
      <xdr:rowOff>76201</xdr:rowOff>
    </xdr:from>
    <xdr:to>
      <xdr:col>12</xdr:col>
      <xdr:colOff>538164</xdr:colOff>
      <xdr:row>15</xdr:row>
      <xdr:rowOff>138113</xdr:rowOff>
    </xdr:to>
    <xdr:graphicFrame macro="">
      <xdr:nvGraphicFramePr>
        <xdr:cNvPr id="84" name="Chart 83">
          <a:extLst>
            <a:ext uri="{FF2B5EF4-FFF2-40B4-BE49-F238E27FC236}">
              <a16:creationId xmlns:a16="http://schemas.microsoft.com/office/drawing/2014/main" id="{7BB0AC10-0DB7-4B79-835B-33015A96A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6</xdr:col>
      <xdr:colOff>366711</xdr:colOff>
      <xdr:row>2</xdr:row>
      <xdr:rowOff>161924</xdr:rowOff>
    </xdr:from>
    <xdr:to>
      <xdr:col>8</xdr:col>
      <xdr:colOff>190498</xdr:colOff>
      <xdr:row>3</xdr:row>
      <xdr:rowOff>180974</xdr:rowOff>
    </xdr:to>
    <xdr:sp macro="" textlink="">
      <xdr:nvSpPr>
        <xdr:cNvPr id="86" name="TextBox 85">
          <a:extLst>
            <a:ext uri="{FF2B5EF4-FFF2-40B4-BE49-F238E27FC236}">
              <a16:creationId xmlns:a16="http://schemas.microsoft.com/office/drawing/2014/main" id="{6D3AF98D-C84F-E390-A5D6-3D5D36CA8A07}"/>
            </a:ext>
          </a:extLst>
        </xdr:cNvPr>
        <xdr:cNvSpPr txBox="1"/>
      </xdr:nvSpPr>
      <xdr:spPr>
        <a:xfrm>
          <a:off x="4024311" y="523874"/>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endParaRPr lang="en-IN" sz="800" baseline="0">
            <a:ln>
              <a:noFill/>
            </a:ln>
            <a:solidFill>
              <a:schemeClr val="dk1"/>
            </a:solidFill>
          </a:endParaRPr>
        </a:p>
        <a:p>
          <a:pPr algn="ctr"/>
          <a:endParaRPr lang="en-IN" sz="600">
            <a:ln>
              <a:noFill/>
            </a:ln>
            <a:solidFill>
              <a:schemeClr val="dk1"/>
            </a:solidFill>
          </a:endParaRPr>
        </a:p>
      </xdr:txBody>
    </xdr:sp>
    <xdr:clientData/>
  </xdr:twoCellAnchor>
  <xdr:twoCellAnchor editAs="oneCell">
    <xdr:from>
      <xdr:col>6</xdr:col>
      <xdr:colOff>314325</xdr:colOff>
      <xdr:row>1</xdr:row>
      <xdr:rowOff>23813</xdr:rowOff>
    </xdr:from>
    <xdr:to>
      <xdr:col>8</xdr:col>
      <xdr:colOff>266700</xdr:colOff>
      <xdr:row>3</xdr:row>
      <xdr:rowOff>76200</xdr:rowOff>
    </xdr:to>
    <mc:AlternateContent xmlns:mc="http://schemas.openxmlformats.org/markup-compatibility/2006">
      <mc:Choice xmlns:a14="http://schemas.microsoft.com/office/drawing/2010/main" Requires="a14">
        <xdr:graphicFrame macro="">
          <xdr:nvGraphicFramePr>
            <xdr:cNvPr id="87" name="Date (Year)">
              <a:extLst>
                <a:ext uri="{FF2B5EF4-FFF2-40B4-BE49-F238E27FC236}">
                  <a16:creationId xmlns:a16="http://schemas.microsoft.com/office/drawing/2014/main" id="{56A03ED3-9363-447C-BE5E-1FB2D70A867D}"/>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3971925" y="204788"/>
              <a:ext cx="1171575" cy="4143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319086</xdr:colOff>
      <xdr:row>2</xdr:row>
      <xdr:rowOff>61911</xdr:rowOff>
    </xdr:from>
    <xdr:to>
      <xdr:col>5</xdr:col>
      <xdr:colOff>142873</xdr:colOff>
      <xdr:row>3</xdr:row>
      <xdr:rowOff>80961</xdr:rowOff>
    </xdr:to>
    <xdr:sp macro="" textlink="">
      <xdr:nvSpPr>
        <xdr:cNvPr id="88" name="TextBox 87">
          <a:extLst>
            <a:ext uri="{FF2B5EF4-FFF2-40B4-BE49-F238E27FC236}">
              <a16:creationId xmlns:a16="http://schemas.microsoft.com/office/drawing/2014/main" id="{C7EA3908-F1A2-801A-29B9-7C80D3D19C29}"/>
            </a:ext>
          </a:extLst>
        </xdr:cNvPr>
        <xdr:cNvSpPr txBox="1"/>
      </xdr:nvSpPr>
      <xdr:spPr>
        <a:xfrm>
          <a:off x="2147886" y="423861"/>
          <a:ext cx="1042987"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000">
              <a:ln>
                <a:noFill/>
              </a:ln>
              <a:solidFill>
                <a:schemeClr val="dk1"/>
              </a:solidFill>
            </a:rPr>
            <a:t>Monthly</a:t>
          </a:r>
          <a:r>
            <a:rPr lang="en-IN" sz="1000" baseline="0">
              <a:ln>
                <a:noFill/>
              </a:ln>
              <a:solidFill>
                <a:schemeClr val="dk1"/>
              </a:solidFill>
            </a:rPr>
            <a:t> Analysis</a:t>
          </a:r>
          <a:endParaRPr lang="en-IN" sz="1000">
            <a:ln>
              <a:noFill/>
            </a:ln>
            <a:solidFill>
              <a:schemeClr val="dk1"/>
            </a:solidFill>
          </a:endParaRPr>
        </a:p>
      </xdr:txBody>
    </xdr:sp>
    <xdr:clientData/>
  </xdr:twoCellAnchor>
  <xdr:twoCellAnchor>
    <xdr:from>
      <xdr:col>4</xdr:col>
      <xdr:colOff>481013</xdr:colOff>
      <xdr:row>6</xdr:row>
      <xdr:rowOff>76199</xdr:rowOff>
    </xdr:from>
    <xdr:to>
      <xdr:col>6</xdr:col>
      <xdr:colOff>271463</xdr:colOff>
      <xdr:row>7</xdr:row>
      <xdr:rowOff>161925</xdr:rowOff>
    </xdr:to>
    <xdr:graphicFrame macro="">
      <xdr:nvGraphicFramePr>
        <xdr:cNvPr id="89" name="Chart 88">
          <a:hlinkClick xmlns:r="http://schemas.openxmlformats.org/officeDocument/2006/relationships" r:id="rId14"/>
          <a:extLst>
            <a:ext uri="{FF2B5EF4-FFF2-40B4-BE49-F238E27FC236}">
              <a16:creationId xmlns:a16="http://schemas.microsoft.com/office/drawing/2014/main" id="{198862BB-2BC0-4A45-B489-77F053B487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428625</xdr:colOff>
      <xdr:row>5</xdr:row>
      <xdr:rowOff>128588</xdr:rowOff>
    </xdr:from>
    <xdr:to>
      <xdr:col>8</xdr:col>
      <xdr:colOff>252413</xdr:colOff>
      <xdr:row>7</xdr:row>
      <xdr:rowOff>154057</xdr:rowOff>
    </xdr:to>
    <xdr:graphicFrame macro="">
      <xdr:nvGraphicFramePr>
        <xdr:cNvPr id="90" name="Chart 89">
          <a:hlinkClick xmlns:r="http://schemas.openxmlformats.org/officeDocument/2006/relationships" r:id="rId16"/>
          <a:extLst>
            <a:ext uri="{FF2B5EF4-FFF2-40B4-BE49-F238E27FC236}">
              <a16:creationId xmlns:a16="http://schemas.microsoft.com/office/drawing/2014/main" id="{AA6BF75A-3CB3-4159-AEA8-8A65718D7E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2</xdr:col>
      <xdr:colOff>547688</xdr:colOff>
      <xdr:row>8</xdr:row>
      <xdr:rowOff>104774</xdr:rowOff>
    </xdr:from>
    <xdr:to>
      <xdr:col>8</xdr:col>
      <xdr:colOff>190499</xdr:colOff>
      <xdr:row>10</xdr:row>
      <xdr:rowOff>119063</xdr:rowOff>
    </xdr:to>
    <xdr:pic>
      <xdr:nvPicPr>
        <xdr:cNvPr id="95" name="Picture 94">
          <a:extLst>
            <a:ext uri="{FF2B5EF4-FFF2-40B4-BE49-F238E27FC236}">
              <a16:creationId xmlns:a16="http://schemas.microsoft.com/office/drawing/2014/main" id="{22A1634C-1EE5-521D-636D-CE25D53ACEF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766888" y="1552574"/>
          <a:ext cx="3300411" cy="376239"/>
        </a:xfrm>
        <a:prstGeom prst="rect">
          <a:avLst/>
        </a:prstGeom>
        <a:solidFill>
          <a:schemeClr val="accent4">
            <a:lumMod val="40000"/>
            <a:lumOff val="6000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541020</xdr:colOff>
      <xdr:row>2</xdr:row>
      <xdr:rowOff>7620</xdr:rowOff>
    </xdr:from>
    <xdr:to>
      <xdr:col>20</xdr:col>
      <xdr:colOff>480060</xdr:colOff>
      <xdr:row>24</xdr:row>
      <xdr:rowOff>129540</xdr:rowOff>
    </xdr:to>
    <xdr:graphicFrame macro="">
      <xdr:nvGraphicFramePr>
        <xdr:cNvPr id="2" name="Chart 1">
          <a:extLst>
            <a:ext uri="{FF2B5EF4-FFF2-40B4-BE49-F238E27FC236}">
              <a16:creationId xmlns:a16="http://schemas.microsoft.com/office/drawing/2014/main" id="{ED36078E-6AD0-48EE-B13B-CC02EC2B8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0.92063</cdr:x>
      <cdr:y>0</cdr:y>
    </cdr:from>
    <cdr:to>
      <cdr:x>1</cdr:x>
      <cdr:y>0.22059</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1A46393-76B9-C4B8-F948-0D10EE6C1A3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607040" y="0"/>
          <a:ext cx="914400" cy="914400"/>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1</xdr:col>
      <xdr:colOff>365760</xdr:colOff>
      <xdr:row>2</xdr:row>
      <xdr:rowOff>22860</xdr:rowOff>
    </xdr:from>
    <xdr:to>
      <xdr:col>22</xdr:col>
      <xdr:colOff>68580</xdr:colOff>
      <xdr:row>22</xdr:row>
      <xdr:rowOff>167640</xdr:rowOff>
    </xdr:to>
    <xdr:graphicFrame macro="">
      <xdr:nvGraphicFramePr>
        <xdr:cNvPr id="2" name="Chart 1">
          <a:extLst>
            <a:ext uri="{FF2B5EF4-FFF2-40B4-BE49-F238E27FC236}">
              <a16:creationId xmlns:a16="http://schemas.microsoft.com/office/drawing/2014/main" id="{B249845A-41DE-4118-81F8-5F3F283138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0.92687</cdr:x>
      <cdr:y>0</cdr:y>
    </cdr:from>
    <cdr:to>
      <cdr:x>1</cdr:x>
      <cdr:y>0.24048</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F0F128B0-9FBF-E8B2-478D-96B6658A179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1590020" y="0"/>
          <a:ext cx="914400" cy="914400"/>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2</xdr:col>
      <xdr:colOff>571500</xdr:colOff>
      <xdr:row>1</xdr:row>
      <xdr:rowOff>68580</xdr:rowOff>
    </xdr:from>
    <xdr:to>
      <xdr:col>20</xdr:col>
      <xdr:colOff>198120</xdr:colOff>
      <xdr:row>23</xdr:row>
      <xdr:rowOff>175260</xdr:rowOff>
    </xdr:to>
    <xdr:graphicFrame macro="">
      <xdr:nvGraphicFramePr>
        <xdr:cNvPr id="2" name="Chart 1">
          <a:extLst>
            <a:ext uri="{FF2B5EF4-FFF2-40B4-BE49-F238E27FC236}">
              <a16:creationId xmlns:a16="http://schemas.microsoft.com/office/drawing/2014/main" id="{56312FED-1BF9-4D40-A139-8B375DE99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510540</xdr:colOff>
      <xdr:row>23</xdr:row>
      <xdr:rowOff>137160</xdr:rowOff>
    </xdr:from>
    <xdr:to>
      <xdr:col>17</xdr:col>
      <xdr:colOff>472440</xdr:colOff>
      <xdr:row>26</xdr:row>
      <xdr:rowOff>22860</xdr:rowOff>
    </xdr:to>
    <xdr:sp macro="" textlink="">
      <xdr:nvSpPr>
        <xdr:cNvPr id="3" name="TextBox 2">
          <a:extLst>
            <a:ext uri="{FF2B5EF4-FFF2-40B4-BE49-F238E27FC236}">
              <a16:creationId xmlns:a16="http://schemas.microsoft.com/office/drawing/2014/main" id="{82AE4D1B-99B2-092E-667C-F94BBC24C9BA}"/>
            </a:ext>
          </a:extLst>
        </xdr:cNvPr>
        <xdr:cNvSpPr txBox="1"/>
      </xdr:nvSpPr>
      <xdr:spPr>
        <a:xfrm>
          <a:off x="3558540" y="4343400"/>
          <a:ext cx="727710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0" rtlCol="0" anchor="t"/>
        <a:lstStyle/>
        <a:p>
          <a:r>
            <a:rPr lang="en-IN" sz="1400">
              <a:solidFill>
                <a:schemeClr val="bg1"/>
              </a:solidFill>
            </a:rPr>
            <a:t>Showing a daily trend with an area sparkline to spot patterns</a:t>
          </a:r>
          <a:r>
            <a:rPr lang="en-IN" sz="1400" baseline="0">
              <a:solidFill>
                <a:schemeClr val="bg1"/>
              </a:solidFill>
            </a:rPr>
            <a:t> like busy days or seasonal trend</a:t>
          </a:r>
          <a:endParaRPr lang="en-IN" sz="1400">
            <a:solidFill>
              <a:schemeClr val="bg1"/>
            </a:solidFill>
          </a:endParaRPr>
        </a:p>
      </xdr:txBody>
    </xdr:sp>
    <xdr:clientData/>
  </xdr:twoCellAnchor>
</xdr:wsDr>
</file>

<file path=xl/drawings/drawing8.xml><?xml version="1.0" encoding="utf-8"?>
<c:userShapes xmlns:c="http://schemas.openxmlformats.org/drawingml/2006/chart">
  <cdr:relSizeAnchor xmlns:cdr="http://schemas.openxmlformats.org/drawingml/2006/chartDrawing">
    <cdr:from>
      <cdr:x>0.90236</cdr:x>
      <cdr:y>0</cdr:y>
    </cdr:from>
    <cdr:to>
      <cdr:x>1</cdr:x>
      <cdr:y>0.2214</cdr:y>
    </cdr:to>
    <cdr:pic>
      <cdr:nvPicPr>
        <cdr:cNvPr id="2" name="Graphic 4"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1625861-8B01-57DF-82BB-3937990D5DA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8450580" y="0"/>
          <a:ext cx="914400" cy="91440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6180558" createdVersion="5" refreshedVersion="8" minRefreshableVersion="3" recordCount="0" supportSubquery="1" supportAdvancedDrill="1" xr:uid="{A623E791-8E31-43B3-9E8C-5E115303BC1E}">
  <cacheSource type="external" connectionId="3"/>
  <cacheFields count="4">
    <cacheField name="[Calendar_Table].[Date (Day)].[Date (Day)]" caption="Date (Day)" numFmtId="0" hierarchy="4"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Measures].[Distinct Count of Patient Id]" caption="Distinct Count of Patient Id" numFmtId="0" hierarchy="28" level="32767"/>
    <cacheField name="[Calendar_Table].[Date (Month)].[Date (Month)]" caption="Date (Month)" numFmtId="0" hierarchy="3" level="1">
      <sharedItems containsSemiMixedTypes="0" containsNonDate="0" containsString="0"/>
    </cacheField>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2"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2"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6296297" createdVersion="5" refreshedVersion="8" minRefreshableVersion="3" recordCount="0" supportSubquery="1" supportAdvancedDrill="1" xr:uid="{2A5A48AC-EA74-41C2-8387-597DCB722D24}">
  <cacheSource type="external" connectionId="3"/>
  <cacheFields count="3">
    <cacheField name="[Measures].[Count of Patient Id]" caption="Count of Patient Id" numFmtId="0" hierarchy="23" level="32767"/>
    <cacheField name="[Calendar_Table].[Date (Month)].[Date (Month)]" caption="Date (Month)" numFmtId="0" hierarchy="3" level="1">
      <sharedItems containsSemiMixedTypes="0" containsNonDate="0" containsString="0"/>
    </cacheField>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6527781" createdVersion="5" refreshedVersion="8" minRefreshableVersion="3" recordCount="0" supportSubquery="1" supportAdvancedDrill="1" xr:uid="{85E50EF8-9BBD-4060-BB03-3B601F10E055}">
  <cacheSource type="external" connectionId="3"/>
  <cacheFields count="3">
    <cacheField name="[Measures].[Average of Patient Waittime]" caption="Average of Patient Waittime" numFmtId="0" hierarchy="25" level="32767"/>
    <cacheField name="[Calendar_Table].[Date (Month)].[Date (Month)]" caption="Date (Month)" numFmtId="0" hierarchy="3" level="1">
      <sharedItems containsSemiMixedTypes="0" containsNonDate="0" containsString="0"/>
    </cacheField>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6759259" createdVersion="5" refreshedVersion="8" minRefreshableVersion="3" recordCount="0" supportSubquery="1" supportAdvancedDrill="1" xr:uid="{6E011CF9-4CA3-4046-B825-AAEE1AFF201B}">
  <cacheSource type="external" connectionId="3"/>
  <cacheFields count="3">
    <cacheField name="[Measures].[Average of Patient Satisfaction Score]" caption="Average of Patient Satisfaction Score" numFmtId="0" hierarchy="27" level="32767"/>
    <cacheField name="[Calendar_Table].[Date (Month)].[Date (Month)]" caption="Date (Month)" numFmtId="0" hierarchy="3" level="1">
      <sharedItems containsSemiMixedTypes="0" containsNonDate="0" containsString="0"/>
    </cacheField>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7453705" createdVersion="5" refreshedVersion="8" minRefreshableVersion="3" recordCount="0" supportSubquery="1" supportAdvancedDrill="1" xr:uid="{F9EB8658-B7E4-4728-A928-221891B1F028}">
  <cacheSource type="external" connectionId="3"/>
  <cacheFields count="4">
    <cacheField name="[Calendar_Table].[Date (Day)].[Date (Day)]" caption="Date (Day)" numFmtId="0" hierarchy="4" level="1">
      <sharedItems count="30">
        <s v="1-Apr"/>
        <s v="2-Apr"/>
        <s v="3-Apr"/>
        <s v="4-Apr"/>
        <s v="5-Apr"/>
        <s v="6-Apr"/>
        <s v="7-Apr"/>
        <s v="8-Apr"/>
        <s v="9-Apr"/>
        <s v="10-Apr"/>
        <s v="11-Apr"/>
        <s v="12-Apr"/>
        <s v="13-Apr"/>
        <s v="14-Apr"/>
        <s v="15-Apr"/>
        <s v="16-Apr"/>
        <s v="17-Apr"/>
        <s v="18-Apr"/>
        <s v="19-Apr"/>
        <s v="20-Apr"/>
        <s v="21-Apr"/>
        <s v="22-Apr"/>
        <s v="23-Apr"/>
        <s v="24-Apr"/>
        <s v="25-Apr"/>
        <s v="26-Apr"/>
        <s v="27-Apr"/>
        <s v="28-Apr"/>
        <s v="29-Apr"/>
        <s v="30-Apr"/>
      </sharedItems>
    </cacheField>
    <cacheField name="[Calendar_Table].[Date (Month)].[Date (Month)]" caption="Date (Month)" numFmtId="0" hierarchy="3" level="1">
      <sharedItems containsSemiMixedTypes="0" containsNonDate="0" containsString="0"/>
    </cacheField>
    <cacheField name="[Measures].[Average of Patient Waittime]" caption="Average of Patient Waittime" numFmtId="0" hierarchy="25"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8148152" createdVersion="5" refreshedVersion="8" minRefreshableVersion="3" recordCount="0" supportSubquery="1" supportAdvancedDrill="1" xr:uid="{E0F8008E-5105-4ACC-B069-548035AFA47E}">
  <cacheSource type="external" connectionId="3"/>
  <cacheFields count="4">
    <cacheField name="[Calendar_Table].[Date (Day)].[Date (Day)]" caption="Date (Day)" numFmtId="0" hierarchy="4" level="1">
      <sharedItems count="27">
        <s v="2-Apr"/>
        <s v="3-Apr"/>
        <s v="4-Apr"/>
        <s v="5-Apr"/>
        <s v="6-Apr"/>
        <s v="7-Apr"/>
        <s v="8-Apr"/>
        <s v="9-Apr"/>
        <s v="11-Apr"/>
        <s v="12-Apr"/>
        <s v="13-Apr"/>
        <s v="14-Apr"/>
        <s v="15-Apr"/>
        <s v="16-Apr"/>
        <s v="17-Apr"/>
        <s v="18-Apr"/>
        <s v="19-Apr"/>
        <s v="20-Apr"/>
        <s v="22-Apr"/>
        <s v="23-Apr"/>
        <s v="24-Apr"/>
        <s v="25-Apr"/>
        <s v="26-Apr"/>
        <s v="27-Apr"/>
        <s v="28-Apr"/>
        <s v="29-Apr"/>
        <s v="30-Apr"/>
      </sharedItems>
    </cacheField>
    <cacheField name="[Calendar_Table].[Date (Month)].[Date (Month)]" caption="Date (Month)" numFmtId="0" hierarchy="3" level="1">
      <sharedItems containsSemiMixedTypes="0" containsNonDate="0" containsString="0"/>
    </cacheField>
    <cacheField name="[Measures].[Average of Patient Satisfaction Score]" caption="Average of Patient Satisfaction Score" numFmtId="0" hierarchy="27"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8726852" createdVersion="5" refreshedVersion="8" minRefreshableVersion="3" recordCount="0" supportSubquery="1" supportAdvancedDrill="1" xr:uid="{8CBF5909-45D6-4406-B17C-C819E7DDD08F}">
  <cacheSource type="external" connectionId="3"/>
  <cacheFields count="5">
    <cacheField name="[Calendar_Table].[Date (Month)].[Date (Month)]" caption="Date (Month)" numFmtId="0" hierarchy="3"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ar_Table].[Date (Year)].[Date (Year)]" caption="Date (Year)" numFmtId="0" hierarchy="1"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9305553" createdVersion="5" refreshedVersion="8" minRefreshableVersion="3" recordCount="0" supportSubquery="1" supportAdvancedDrill="1" xr:uid="{7B536F4E-3FC3-482C-A9CB-BA1D764FAF42}">
  <cacheSource type="external" connectionId="3"/>
  <cacheFields count="4">
    <cacheField name="[Calendar_Table].[Date (Month)].[Date (Month)]" caption="Date (Month)" numFmtId="0" hierarchy="3" level="1">
      <sharedItems containsSemiMixedTypes="0" containsNonDate="0" containsString="0"/>
    </cacheField>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0"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599768522" createdVersion="5" refreshedVersion="8" minRefreshableVersion="3" recordCount="0" supportSubquery="1" supportAdvancedDrill="1" xr:uid="{A87124A1-BED3-4E20-A392-640C30E09C08}">
  <cacheSource type="external" connectionId="3"/>
  <cacheFields count="4">
    <cacheField name="[Calendar_Table].[Date (Month)].[Date (Month)]" caption="Date (Month)" numFmtId="0" hierarchy="3" level="1">
      <sharedItems containsSemiMixedTypes="0" containsNonDate="0" containsString="0"/>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1"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600347223" createdVersion="5" refreshedVersion="8" minRefreshableVersion="3" recordCount="0" supportSubquery="1" supportAdvancedDrill="1" xr:uid="{CE69888F-9552-4C1C-A686-7A215800CA69}">
  <cacheSource type="external" connectionId="3"/>
  <cacheFields count="4">
    <cacheField name="[Calendar_Table].[Date (Month)].[Date (Month)]" caption="Date (Month)" numFmtId="0" hierarchy="3"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2"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600925923" createdVersion="5" refreshedVersion="8" minRefreshableVersion="3" recordCount="0" supportSubquery="1" supportAdvancedDrill="1" xr:uid="{5488D68A-EE38-4486-B1A0-8C984BD51202}">
  <cacheSource type="external" connectionId="3"/>
  <cacheFields count="4">
    <cacheField name="[Calendar_Table].[Date (Month)].[Date (Month)]" caption="Date (Month)" numFmtId="0" hierarchy="3"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3" level="32767"/>
    <cacheField name="[Calendar_Table].[Date (Year)].[Date (Year)]" caption="Date (Year)"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178601388892" createdVersion="5" refreshedVersion="8" minRefreshableVersion="3" recordCount="0" supportSubquery="1" supportAdvancedDrill="1" xr:uid="{97145D05-A089-47E8-8740-6B33EFA9788F}">
  <cacheSource type="external" connectionId="3"/>
  <cacheFields count="2">
    <cacheField name="[Calendar_Table].[Date (Month)].[Date (Month)]" caption="Date (Month)" numFmtId="0" hierarchy="3" level="1">
      <sharedItems containsSemiMixedTypes="0" containsNonDate="0" containsString="0"/>
    </cacheField>
    <cacheField name="[Calendar_Table].[Date (Year)].[Date (Year)]" caption="Date (Year)" numFmtId="0" hierarchy="1" level="1">
      <sharedItems count="1">
        <s v="2024"/>
      </sharedItems>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2"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2"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3.924654745373" createdVersion="3" refreshedVersion="8" minRefreshableVersion="3" recordCount="0" supportSubquery="1" supportAdvancedDrill="1" xr:uid="{DF25B039-390A-49B0-810A-E8961C0DF425}">
  <cacheSource type="external" connectionId="3">
    <extLst>
      <ext xmlns:x14="http://schemas.microsoft.com/office/spreadsheetml/2009/9/main" uri="{F057638F-6D5F-4e77-A914-E7F072B9BCA8}">
        <x14:sourceConnection name="ThisWorkbookDataModel"/>
      </ext>
    </extLst>
  </cacheSource>
  <cacheFields count="0"/>
  <cacheHierarchies count="29">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0"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2014579667"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sha" refreshedDate="46104.092867013889" createdVersion="3" refreshedVersion="8" minRefreshableVersion="3" recordCount="0" supportSubquery="1" supportAdvancedDrill="1" xr:uid="{43BFC2F7-EF8A-4A96-BB47-A869DABC9CBD}">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Calendar_Table].[Date (Month)]" caption="Date (Month)" attribute="1" defaultMemberUniqueName="[Calendar_Table].[Date (Month)].[All]" allUniqueName="[Calendar_Table].[Date (Month)].[All]" dimensionUniqueName="[Calendar_Table]" displayFolder="" count="0"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1]" caption="Patient Admission Date.1" attribute="1" time="1" defaultMemberUniqueName="[Hospital Emergency Room Data].[Patient Admission Date.1].[All]" allUniqueName="[Hospital Emergency Room Data].[Patient Admission Date.1].[All]" dimensionUniqueName="[Hospital Emergency Room Data]" displayFolder="" count="0" memberValueDatatype="7" unbalanced="0"/>
    <cacheHierarchy uniqueName="[Hospital Emergency Room Data].[Patient Admission Time.2]" caption="Patient Admission Time.2" attribute="1" time="1" defaultMemberUniqueName="[Hospital Emergency Room Data].[Patient Admission Time.2].[All]" allUniqueName="[Hospital Emergency Room Data].[Patient Admission Time.2].[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Calendar_Table]" caption="__XL_Count Calendar_Table" measure="1" displayFolder="" measureGroup="Calendar_Table" count="0" hidden="1"/>
    <cacheHierarchy uniqueName="[Measures].[__XL_Count Hospital Emergency Room Data]" caption="__XL_Count Hospital Emergency Room Data" measure="1" displayFolder="" measureGroup="Hospital Emergency Room Data"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66911106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942D8B-DCE0-4148-A271-530EF1B1B41A}" name="PivotTable13" cacheId="3391" applyNumberFormats="0" applyBorderFormats="0" applyFontFormats="0" applyPatternFormats="0" applyAlignmentFormats="0" applyWidthHeightFormats="1" dataCaption="Values" tag="018e07ff-63b4-4d03-9707-efbebb249bef" updatedVersion="8" minRefreshableVersion="3" useAutoFormatting="1" subtotalHiddenItems="1" itemPrintTitles="1" createdVersion="5" indent="0" outline="1" outlineData="1" multipleFieldFilters="0" chartFormat="46">
  <location ref="D92:D94" firstHeaderRow="1" firstDataRow="1" firstDataCol="1"/>
  <pivotFields count="2">
    <pivotField allDrilled="1" subtotalTop="0" showAll="0" dataSourceSort="1" defaultSubtotal="0" defaultAttributeDrillState="1"/>
    <pivotField axis="axisRow" allDrilled="1" subtotalTop="0" showAll="0" dataSourceSort="1" defaultSubtotal="0" defaultAttributeDrillState="1">
      <items count="1">
        <item s="1" x="0"/>
      </items>
    </pivotField>
  </pivotFields>
  <rowFields count="1">
    <field x="1"/>
  </rowFields>
  <rowItems count="2">
    <i>
      <x/>
    </i>
    <i t="grand">
      <x/>
    </i>
  </rowItems>
  <formats count="1">
    <format dxfId="50">
      <pivotArea outline="0" collapsedLevelsAreSubtotals="1" fieldPosition="0"/>
    </format>
  </formats>
  <pivotHierarchies count="34">
    <pivotHierarchy dragToData="1"/>
    <pivotHierarchy multipleItemSelectionAllowed="1" dragToData="1"/>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B731F7-BEFC-4647-91B2-43CD240148EF}" name="PivotTable12" cacheId="3388" applyNumberFormats="0" applyBorderFormats="0" applyFontFormats="0" applyPatternFormats="0" applyAlignmentFormats="0" applyWidthHeightFormats="1" dataCaption="Values" tag="ad6d4be3-4a7e-41bc-8251-a20b6dbfe7ab" updatedVersion="8" minRefreshableVersion="3" useAutoFormatting="1" subtotalHiddenItems="1" itemPrintTitles="1" createdVersion="5" indent="0" outline="1" outlineData="1" multipleFieldFilters="0" chartFormat="48">
  <location ref="A93:B10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Department Referral" fld="2" subtotal="count" baseField="0" baseItem="0"/>
  </dataFields>
  <formats count="1">
    <format dxfId="47">
      <pivotArea outline="0" collapsedLevelsAreSubtotals="1" fieldPosition="0"/>
    </format>
  </formats>
  <chartFormats count="1">
    <chartFormat chart="45"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037D15-1C4D-4DD6-8145-125C02141083}" name="PivotTable11" cacheId="3385" applyNumberFormats="0" applyBorderFormats="0" applyFontFormats="0" applyPatternFormats="0" applyAlignmentFormats="0" applyWidthHeightFormats="1" dataCaption="Values" tag="dbb47705-5ded-4b83-839e-932121b7b220" updatedVersion="8" minRefreshableVersion="3" useAutoFormatting="1" subtotalHiddenItems="1" itemPrintTitles="1" createdVersion="5" indent="0" outline="1" outlineData="1" multipleFieldFilters="0" chartFormat="44">
  <location ref="A86:B8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1">
    <format dxfId="48">
      <pivotArea outline="0" collapsedLevelsAreSubtotals="1" fieldPosition="0"/>
    </format>
  </formats>
  <chartFormats count="3">
    <chartFormat chart="40" format="4" series="1">
      <pivotArea type="data" outline="0" fieldPosition="0">
        <references count="1">
          <reference field="4294967294" count="1" selected="0">
            <x v="0"/>
          </reference>
        </references>
      </pivotArea>
    </chartFormat>
    <chartFormat chart="40" format="5">
      <pivotArea type="data" outline="0" fieldPosition="0">
        <references count="2">
          <reference field="4294967294" count="1" selected="0">
            <x v="0"/>
          </reference>
          <reference field="1" count="1" selected="0">
            <x v="0"/>
          </reference>
        </references>
      </pivotArea>
    </chartFormat>
    <chartFormat chart="40"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163927-C1EF-4CA1-A89F-DD491D184EB9}" name="PivotTable10" cacheId="3382" applyNumberFormats="0" applyBorderFormats="0" applyFontFormats="0" applyPatternFormats="0" applyAlignmentFormats="0" applyWidthHeightFormats="1" dataCaption="Values" tag="0f7cf837-1667-4774-ad5a-2c994981372e" updatedVersion="8" minRefreshableVersion="3" useAutoFormatting="1" subtotalHiddenItems="1" itemPrintTitles="1" createdVersion="5" indent="0" outline="1" outlineData="1" multipleFieldFilters="0" chartFormat="40">
  <location ref="A79:B8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1">
    <format dxfId="49">
      <pivotArea outline="0" collapsedLevelsAreSubtotals="1" fieldPosition="0"/>
    </format>
  </formats>
  <chartFormats count="3">
    <chartFormat chart="35" format="28" series="1">
      <pivotArea type="data" outline="0" fieldPosition="0">
        <references count="1">
          <reference field="4294967294" count="1" selected="0">
            <x v="0"/>
          </reference>
        </references>
      </pivotArea>
    </chartFormat>
    <chartFormat chart="35" format="29">
      <pivotArea type="data" outline="0" fieldPosition="0">
        <references count="2">
          <reference field="4294967294" count="1" selected="0">
            <x v="0"/>
          </reference>
          <reference field="1" count="1" selected="0">
            <x v="0"/>
          </reference>
        </references>
      </pivotArea>
    </chartFormat>
    <chartFormat chart="35" format="30">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5D418A-1C6B-4C75-9C12-9B60005E5809}" name="PivotTable9" cacheId="3379" applyNumberFormats="0" applyBorderFormats="0" applyFontFormats="0" applyPatternFormats="0" applyAlignmentFormats="0" applyWidthHeightFormats="1" dataCaption="Values" tag="ffb29598-d740-4070-9a4d-bd3111f3f679" updatedVersion="8" minRefreshableVersion="3" useAutoFormatting="1" subtotalHiddenItems="1" itemPrintTitles="1" createdVersion="5" indent="0" outline="1" outlineData="1" multipleFieldFilters="0" chartFormat="23">
  <location ref="A64:B73"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dataFields>
  <formats count="1">
    <format dxfId="44">
      <pivotArea outline="0" collapsedLevelsAreSubtotals="1" fieldPosition="0"/>
    </format>
  </formats>
  <chartFormats count="1">
    <chartFormat chart="12" format="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E945B3-B448-4FD5-98F2-7BC50FA65806}" name="PivotTable8" cacheId="3376" applyNumberFormats="0" applyBorderFormats="0" applyFontFormats="0" applyPatternFormats="0" applyAlignmentFormats="0" applyWidthHeightFormats="1" dataCaption="Values" tag="2e177fa8-50aa-4eb1-a8a5-843353453520" updatedVersion="8" minRefreshableVersion="3" subtotalHiddenItems="1" rowGrandTotals="0" colGrandTotals="0" itemPrintTitles="1" createdVersion="5" indent="0" outline="1" outlineData="1" multipleFieldFilters="0" chartFormat="22">
  <location ref="A42:C44"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No. of Patient" fld="2" subtotal="count" baseField="1" baseItem="0" numFmtId="1"/>
    <dataField name="P% of Patient" fld="4" subtotal="count" showDataAs="percentOfTotal" baseField="0" baseItem="0" numFmtId="9">
      <extLst>
        <ext xmlns:x14="http://schemas.microsoft.com/office/spreadsheetml/2009/9/main" uri="{E15A36E0-9728-4e99-A89B-3F7291B0FE68}">
          <x14:dataField sourceField="2" uniqueName="[__Xl2].[Measures].[Count of Patient Admission Flag]"/>
        </ext>
      </extLst>
    </dataField>
  </dataFields>
  <formats count="15">
    <format dxfId="51">
      <pivotArea outline="0" collapsedLevelsAreSubtotals="1" fieldPosition="0"/>
    </format>
    <format dxfId="52">
      <pivotArea outline="0" fieldPosition="0">
        <references count="1">
          <reference field="4294967294" count="1">
            <x v="0"/>
          </reference>
        </references>
      </pivotArea>
    </format>
    <format dxfId="53">
      <pivotArea outline="0" fieldPosition="0">
        <references count="1">
          <reference field="4294967294" count="1">
            <x v="1"/>
          </reference>
        </references>
      </pivotArea>
    </format>
    <format dxfId="54">
      <pivotArea field="1" type="button" dataOnly="0" labelOnly="1" outline="0" axis="axisRow" fieldPosition="0"/>
    </format>
    <format dxfId="55">
      <pivotArea dataOnly="0" labelOnly="1" outline="0" fieldPosition="0">
        <references count="1">
          <reference field="4294967294" count="2">
            <x v="0"/>
            <x v="1"/>
          </reference>
        </references>
      </pivotArea>
    </format>
    <format dxfId="56">
      <pivotArea outline="0" collapsedLevelsAreSubtotals="1" fieldPosition="0"/>
    </format>
    <format dxfId="57">
      <pivotArea dataOnly="0" labelOnly="1" fieldPosition="0">
        <references count="1">
          <reference field="1" count="0"/>
        </references>
      </pivotArea>
    </format>
    <format dxfId="58">
      <pivotArea outline="0" collapsedLevelsAreSubtotals="1" fieldPosition="0"/>
    </format>
    <format dxfId="59">
      <pivotArea dataOnly="0" labelOnly="1" fieldPosition="0">
        <references count="1">
          <reference field="1" count="0"/>
        </references>
      </pivotArea>
    </format>
    <format dxfId="60">
      <pivotArea outline="0" collapsedLevelsAreSubtotals="1" fieldPosition="0">
        <references count="1">
          <reference field="4294967294" count="1" selected="0">
            <x v="1"/>
          </reference>
        </references>
      </pivotArea>
    </format>
    <format dxfId="61">
      <pivotArea outline="0" collapsedLevelsAreSubtotals="1" fieldPosition="0">
        <references count="1">
          <reference field="4294967294" count="1" selected="0">
            <x v="0"/>
          </reference>
        </references>
      </pivotArea>
    </format>
    <format dxfId="62">
      <pivotArea outline="0" collapsedLevelsAreSubtotals="1" fieldPosition="0">
        <references count="1">
          <reference field="4294967294" count="1" selected="0">
            <x v="1"/>
          </reference>
        </references>
      </pivotArea>
    </format>
    <format dxfId="63">
      <pivotArea dataOnly="0" labelOnly="1" outline="0" fieldPosition="0">
        <references count="1">
          <reference field="4294967294" count="1">
            <x v="1"/>
          </reference>
        </references>
      </pivotArea>
    </format>
    <format dxfId="64">
      <pivotArea dataOnly="0" labelOnly="1" outline="0" fieldPosition="0">
        <references count="1">
          <reference field="4294967294" count="1">
            <x v="0"/>
          </reference>
        </references>
      </pivotArea>
    </format>
    <format dxfId="65">
      <pivotArea field="1" type="button" dataOnly="0" labelOnly="1" outline="0" axis="axisRow"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1" count="1" selected="0">
            <x v="1"/>
          </reference>
        </references>
      </pivotArea>
    </chartFormat>
    <chartFormat chart="0" format="3">
      <pivotArea type="data" outline="0" fieldPosition="0">
        <references count="2">
          <reference field="4294967294" count="1" selected="0">
            <x v="1"/>
          </reference>
          <reference field="1" count="1" selected="0">
            <x v="0"/>
          </reference>
        </references>
      </pivotArea>
    </chartFormat>
  </chartFormats>
  <pivotHierarchies count="35">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caption="No. of Patient"/>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92CE1D9-14D9-49A2-8987-8D04516A27C7}" name="PivotTable7" cacheId="3373" applyNumberFormats="0" applyBorderFormats="0" applyFontFormats="0" applyPatternFormats="0" applyAlignmentFormats="0" applyWidthHeightFormats="1" dataCaption="Values" tag="d3d69adb-579a-4b28-acb3-4043b28ffcd0" updatedVersion="8" minRefreshableVersion="3" useAutoFormatting="1" subtotalHiddenItems="1" itemPrintTitles="1" createdVersion="5" indent="0" outline="1" outlineData="1" multipleFieldFilters="0" chartFormat="30">
  <location ref="O3:P31" firstHeaderRow="1" firstDataRow="1" firstDataCol="1"/>
  <pivotFields count="4">
    <pivotField axis="axisRow" allDrilled="1" subtotalTop="0" showAll="0" dataSourceSort="1"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Items count="1">
    <i/>
  </colItems>
  <dataFields count="1">
    <dataField name="Average of Patient Satisfaction Score" fld="2" subtotal="average" baseField="0" baseItem="11" numFmtId="2"/>
  </dataFields>
  <chartFormats count="2">
    <chartFormat chart="25" format="2"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caption="Distinct Count of Patient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27B7B1-37EF-4D1F-893A-24A6CF8FCA7B}" name="PivotTable6" cacheId="3370" applyNumberFormats="0" applyBorderFormats="0" applyFontFormats="0" applyPatternFormats="0" applyAlignmentFormats="0" applyWidthHeightFormats="1" dataCaption="Values" tag="686684cf-c613-4911-a8a2-b7b725b2d806" updatedVersion="8" minRefreshableVersion="3" useAutoFormatting="1" subtotalHiddenItems="1" itemPrintTitles="1" createdVersion="5" indent="0" outline="1" outlineData="1" multipleFieldFilters="0" chartFormat="39">
  <location ref="J4:K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numFmtId="2"/>
  </dataFields>
  <chartFormats count="2">
    <chartFormat chart="23" format="2"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D10D72-6021-4ABD-AB59-DED38529809F}" name="PivotTable5" cacheId="3358" applyNumberFormats="0" applyBorderFormats="0" applyFontFormats="0" applyPatternFormats="0" applyAlignmentFormats="0" applyWidthHeightFormats="1" dataCaption="Values" tag="effe5396-fb82-4e38-8c21-a589e33dd329" updatedVersion="8" minRefreshableVersion="3" useAutoFormatting="1" subtotalHiddenItems="1" itemPrintTitles="1" createdVersion="5" indent="0" outline="1" outlineData="1" multipleFieldFilters="0" chartFormat="25">
  <location ref="C4:D35"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1" subtotal="count" baseField="0" baseItem="0">
      <extLst>
        <ext xmlns:x15="http://schemas.microsoft.com/office/spreadsheetml/2010/11/main" uri="{FABC7310-3BB5-11E1-824E-6D434824019B}">
          <x15:dataField isCountDistinct="1"/>
        </ext>
      </extLst>
    </dataField>
  </dataFields>
  <chartFormats count="2">
    <chartFormat chart="4" format="2"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Patient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D3549E6-E5DB-42DA-B67A-B911712C1162}" name="PivotTable4" cacheId="3367" applyNumberFormats="0" applyBorderFormats="0" applyFontFormats="0" applyPatternFormats="0" applyAlignmentFormats="0" applyWidthHeightFormats="1" dataCaption="Values" tag="e6ef1e77-01f0-4004-be26-af03655faf04" updatedVersion="8" minRefreshableVersion="3" useAutoFormatting="1" subtotalHiddenItems="1" itemPrintTitles="1" createdVersion="5" indent="0" outline="1" outlineData="1" multipleFieldFilters="0">
  <location ref="A12:A1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numFmtId="2"/>
  </dataFields>
  <formats count="1">
    <format dxfId="45">
      <pivotArea outline="0" collapsedLevelsAreSubtotals="1" fieldPosition="0"/>
    </format>
  </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43062CD-98B1-4470-AE82-6B114F076F3E}" name="PivotTable3" cacheId="3364" applyNumberFormats="0" applyBorderFormats="0" applyFontFormats="0" applyPatternFormats="0" applyAlignmentFormats="0" applyWidthHeightFormats="1" dataCaption="Values" tag="7f01e4df-0b72-4386-8420-a211da13bd16" updatedVersion="8" minRefreshableVersion="3" useAutoFormatting="1"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46">
      <pivotArea outline="0" collapsedLevelsAreSubtotals="1" fieldPosition="0"/>
    </format>
  </format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71F3063-CD54-4649-9243-9D88750299B6}" name="PivotTable2" cacheId="3361" applyNumberFormats="0" applyBorderFormats="0" applyFontFormats="0" applyPatternFormats="0" applyAlignmentFormats="0" applyWidthHeightFormats="1" dataCaption="Values" tag="bf2e4793-cf63-4706-92cb-68e61bced251" updatedVersion="8" minRefreshableVersion="3" useAutoFormatting="1" subtotalHiddenItems="1"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Patient Id" fld="0" subtotal="count" baseField="0" baseItem="0"/>
  </dataFields>
  <pivotHierarchies count="34">
    <pivotHierarchy dragToData="1"/>
    <pivotHierarchy multipleItemSelectionAllowed="1" dragToData="1">
      <members count="1" level="1">
        <member name="[Calendar_Table].[Date (Year)].&amp;[2024]"/>
      </members>
    </pivotHierarchy>
    <pivotHierarchy dragToData="1"/>
    <pivotHierarchy multipleItemSelectionAllowed="1" dragToData="1">
      <members count="1" level="1">
        <member name="[Calendar_Table].[Date (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3A0AF9A4-4AB6-4FC7-A307-5DB8B8B139C5}" sourceName="[Calendar_Table].[Date (Year)]">
  <pivotTables>
    <pivotTable tabId="1" name="PivotTable13"/>
    <pivotTable tabId="1" name="PivotTable10"/>
    <pivotTable tabId="1" name="PivotTable11"/>
    <pivotTable tabId="1" name="PivotTable12"/>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669111061">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4]"/>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591E6F5A-1AF2-4554-BED2-7ADF69F44E91}" sourceName="[Calendar_Table].[Date (Month)]">
  <pivotTables>
    <pivotTable tabId="1" name="PivotTable5"/>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 tabId="1" name="PivotTable13"/>
  </pivotTables>
  <data>
    <olap pivotCacheId="2014579667">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nd="1"/>
              <i n="[Calendar_Table].[Date (Month)].&amp;[Dec]" c="Dec" nd="1"/>
            </range>
          </ranges>
        </level>
      </levels>
      <selections count="1">
        <selection n="[Calendar_Table].[Date (Month)].&amp;[Apr]"/>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E1C13D15-DD3A-4C34-9228-32130F8E1BB3}" cache="Slicer_Date__Year" caption="Date (Year)" columnCount="2" showCaption="0" level="1" style="format 3 2 3" rowHeight="234950"/>
  <slicer name="Date (Month)" xr10:uid="{50A493D7-0418-44D8-9141-530C4B081725}" cache="Slicer_Date__Month" caption="Date (Month)" showCaption="0" level="1" style="format 3 2 3" rowHeight="14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FD9C1-8CF7-4BB8-BA6A-319613E9B31D}">
  <dimension ref="A3:P102"/>
  <sheetViews>
    <sheetView zoomScale="115" zoomScaleNormal="115" workbookViewId="0">
      <selection activeCell="E10" sqref="E10"/>
    </sheetView>
  </sheetViews>
  <sheetFormatPr defaultRowHeight="14.4" x14ac:dyDescent="0.3"/>
  <cols>
    <col min="1" max="1" width="32.33203125" customWidth="1"/>
    <col min="2" max="2" width="27.109375" bestFit="1" customWidth="1"/>
    <col min="3" max="3" width="12.5546875" bestFit="1" customWidth="1"/>
    <col min="4" max="4" width="23.88671875" bestFit="1" customWidth="1"/>
    <col min="5" max="5" width="26.33203125" bestFit="1" customWidth="1"/>
    <col min="6" max="7" width="4.6640625" bestFit="1" customWidth="1"/>
    <col min="8" max="8" width="10.77734375" bestFit="1" customWidth="1"/>
    <col min="9" max="9" width="3.88671875" bestFit="1" customWidth="1"/>
    <col min="10" max="10" width="12.5546875" bestFit="1" customWidth="1"/>
    <col min="11" max="11" width="25.109375" bestFit="1" customWidth="1"/>
    <col min="12" max="12" width="4.109375" bestFit="1" customWidth="1"/>
    <col min="13" max="13" width="6.6640625" bestFit="1" customWidth="1"/>
    <col min="14" max="14" width="4.44140625" bestFit="1" customWidth="1"/>
    <col min="15" max="15" width="12.5546875" bestFit="1" customWidth="1"/>
    <col min="16" max="16" width="32.44140625" bestFit="1" customWidth="1"/>
    <col min="17" max="17" width="29.21875" bestFit="1" customWidth="1"/>
    <col min="18" max="18" width="5.88671875" bestFit="1" customWidth="1"/>
    <col min="19" max="19" width="6.6640625" bestFit="1" customWidth="1"/>
    <col min="20" max="20" width="6.33203125" bestFit="1" customWidth="1"/>
    <col min="21" max="21" width="6.109375" bestFit="1" customWidth="1"/>
    <col min="22" max="22" width="6.6640625" bestFit="1" customWidth="1"/>
    <col min="23" max="23" width="10.77734375" bestFit="1" customWidth="1"/>
    <col min="24" max="582" width="10.33203125" bestFit="1" customWidth="1"/>
    <col min="583" max="583" width="10.77734375" bestFit="1" customWidth="1"/>
  </cols>
  <sheetData>
    <row r="3" spans="1:16" x14ac:dyDescent="0.3">
      <c r="O3" s="1" t="s">
        <v>0</v>
      </c>
      <c r="P3" t="s">
        <v>4</v>
      </c>
    </row>
    <row r="4" spans="1:16" x14ac:dyDescent="0.3">
      <c r="A4" t="s">
        <v>2</v>
      </c>
      <c r="C4" s="1" t="s">
        <v>0</v>
      </c>
      <c r="D4" t="s">
        <v>51</v>
      </c>
      <c r="J4" s="1" t="s">
        <v>0</v>
      </c>
      <c r="K4" t="s">
        <v>3</v>
      </c>
      <c r="O4" s="2" t="s">
        <v>22</v>
      </c>
      <c r="P4" s="4">
        <v>4.5999999999999996</v>
      </c>
    </row>
    <row r="5" spans="1:16" x14ac:dyDescent="0.3">
      <c r="A5" s="3">
        <v>469</v>
      </c>
      <c r="C5" s="2" t="s">
        <v>21</v>
      </c>
      <c r="D5" s="3">
        <v>12</v>
      </c>
      <c r="J5" s="2" t="s">
        <v>21</v>
      </c>
      <c r="K5" s="4">
        <v>31.833333333333332</v>
      </c>
      <c r="O5" s="2" t="s">
        <v>23</v>
      </c>
      <c r="P5" s="4">
        <v>4.5999999999999996</v>
      </c>
    </row>
    <row r="6" spans="1:16" x14ac:dyDescent="0.3">
      <c r="C6" s="2" t="s">
        <v>22</v>
      </c>
      <c r="D6" s="3">
        <v>19</v>
      </c>
      <c r="J6" s="2" t="s">
        <v>22</v>
      </c>
      <c r="K6" s="4">
        <v>39.368421052631582</v>
      </c>
      <c r="O6" s="2" t="s">
        <v>24</v>
      </c>
      <c r="P6" s="4">
        <v>5.666666666666667</v>
      </c>
    </row>
    <row r="7" spans="1:16" x14ac:dyDescent="0.3">
      <c r="C7" s="2" t="s">
        <v>23</v>
      </c>
      <c r="D7" s="3">
        <v>17</v>
      </c>
      <c r="J7" s="2" t="s">
        <v>23</v>
      </c>
      <c r="K7" s="4">
        <v>32.352941176470587</v>
      </c>
      <c r="O7" s="2" t="s">
        <v>25</v>
      </c>
      <c r="P7" s="4">
        <v>3.4</v>
      </c>
    </row>
    <row r="8" spans="1:16" x14ac:dyDescent="0.3">
      <c r="A8" t="s">
        <v>3</v>
      </c>
      <c r="C8" s="2" t="s">
        <v>24</v>
      </c>
      <c r="D8" s="3">
        <v>20</v>
      </c>
      <c r="J8" s="2" t="s">
        <v>24</v>
      </c>
      <c r="K8" s="4">
        <v>34.049999999999997</v>
      </c>
      <c r="O8" s="2" t="s">
        <v>26</v>
      </c>
      <c r="P8" s="4">
        <v>4.333333333333333</v>
      </c>
    </row>
    <row r="9" spans="1:16" x14ac:dyDescent="0.3">
      <c r="A9" s="4">
        <v>35.044776119402982</v>
      </c>
      <c r="C9" s="2" t="s">
        <v>25</v>
      </c>
      <c r="D9" s="3">
        <v>15</v>
      </c>
      <c r="J9" s="2" t="s">
        <v>25</v>
      </c>
      <c r="K9" s="4">
        <v>31.8</v>
      </c>
      <c r="O9" s="2" t="s">
        <v>27</v>
      </c>
      <c r="P9" s="4">
        <v>4.4000000000000004</v>
      </c>
    </row>
    <row r="10" spans="1:16" x14ac:dyDescent="0.3">
      <c r="C10" s="2" t="s">
        <v>26</v>
      </c>
      <c r="D10" s="3">
        <v>17</v>
      </c>
      <c r="J10" s="2" t="s">
        <v>26</v>
      </c>
      <c r="K10" s="4">
        <v>37.823529411764703</v>
      </c>
      <c r="O10" s="2" t="s">
        <v>28</v>
      </c>
      <c r="P10" s="4">
        <v>4.25</v>
      </c>
    </row>
    <row r="11" spans="1:16" x14ac:dyDescent="0.3">
      <c r="C11" s="2" t="s">
        <v>27</v>
      </c>
      <c r="D11" s="3">
        <v>16</v>
      </c>
      <c r="J11" s="2" t="s">
        <v>27</v>
      </c>
      <c r="K11" s="4">
        <v>31.875</v>
      </c>
      <c r="O11" s="2" t="s">
        <v>29</v>
      </c>
      <c r="P11" s="4">
        <v>4.5999999999999996</v>
      </c>
    </row>
    <row r="12" spans="1:16" x14ac:dyDescent="0.3">
      <c r="A12" t="s">
        <v>4</v>
      </c>
      <c r="C12" s="2" t="s">
        <v>28</v>
      </c>
      <c r="D12" s="3">
        <v>10</v>
      </c>
      <c r="J12" s="2" t="s">
        <v>28</v>
      </c>
      <c r="K12" s="4">
        <v>27.3</v>
      </c>
      <c r="O12" s="2" t="s">
        <v>31</v>
      </c>
      <c r="P12" s="4">
        <v>2.3333333333333335</v>
      </c>
    </row>
    <row r="13" spans="1:16" x14ac:dyDescent="0.3">
      <c r="A13" s="4">
        <v>4.6269841269841274</v>
      </c>
      <c r="C13" s="2" t="s">
        <v>29</v>
      </c>
      <c r="D13" s="3">
        <v>15</v>
      </c>
      <c r="J13" s="2" t="s">
        <v>29</v>
      </c>
      <c r="K13" s="4">
        <v>31.933333333333334</v>
      </c>
      <c r="O13" s="2" t="s">
        <v>32</v>
      </c>
      <c r="P13" s="4">
        <v>9</v>
      </c>
    </row>
    <row r="14" spans="1:16" x14ac:dyDescent="0.3">
      <c r="C14" s="2" t="s">
        <v>30</v>
      </c>
      <c r="D14" s="3">
        <v>14</v>
      </c>
      <c r="J14" s="2" t="s">
        <v>30</v>
      </c>
      <c r="K14" s="4">
        <v>30.5</v>
      </c>
      <c r="O14" s="2" t="s">
        <v>33</v>
      </c>
      <c r="P14" s="4">
        <v>2.75</v>
      </c>
    </row>
    <row r="15" spans="1:16" x14ac:dyDescent="0.3">
      <c r="C15" s="2" t="s">
        <v>31</v>
      </c>
      <c r="D15" s="3">
        <v>16</v>
      </c>
      <c r="J15" s="2" t="s">
        <v>31</v>
      </c>
      <c r="K15" s="4">
        <v>38.0625</v>
      </c>
      <c r="O15" s="2" t="s">
        <v>34</v>
      </c>
      <c r="P15" s="4">
        <v>6.8888888888888893</v>
      </c>
    </row>
    <row r="16" spans="1:16" x14ac:dyDescent="0.3">
      <c r="C16" s="2" t="s">
        <v>32</v>
      </c>
      <c r="D16" s="3">
        <v>12</v>
      </c>
      <c r="J16" s="2" t="s">
        <v>32</v>
      </c>
      <c r="K16" s="4">
        <v>36.333333333333336</v>
      </c>
      <c r="O16" s="2" t="s">
        <v>35</v>
      </c>
      <c r="P16" s="4">
        <v>5</v>
      </c>
    </row>
    <row r="17" spans="3:16" x14ac:dyDescent="0.3">
      <c r="C17" s="2" t="s">
        <v>33</v>
      </c>
      <c r="D17" s="3">
        <v>12</v>
      </c>
      <c r="J17" s="2" t="s">
        <v>33</v>
      </c>
      <c r="K17" s="4">
        <v>27</v>
      </c>
      <c r="O17" s="2" t="s">
        <v>36</v>
      </c>
      <c r="P17" s="4">
        <v>4.166666666666667</v>
      </c>
    </row>
    <row r="18" spans="3:16" x14ac:dyDescent="0.3">
      <c r="C18" s="2" t="s">
        <v>34</v>
      </c>
      <c r="D18" s="3">
        <v>13</v>
      </c>
      <c r="J18" s="2" t="s">
        <v>34</v>
      </c>
      <c r="K18" s="4">
        <v>37.46153846153846</v>
      </c>
      <c r="O18" s="2" t="s">
        <v>37</v>
      </c>
      <c r="P18" s="4">
        <v>2.5</v>
      </c>
    </row>
    <row r="19" spans="3:16" x14ac:dyDescent="0.3">
      <c r="C19" s="2" t="s">
        <v>35</v>
      </c>
      <c r="D19" s="3">
        <v>20</v>
      </c>
      <c r="J19" s="2" t="s">
        <v>35</v>
      </c>
      <c r="K19" s="4">
        <v>39.25</v>
      </c>
      <c r="O19" s="2" t="s">
        <v>38</v>
      </c>
      <c r="P19" s="4">
        <v>6</v>
      </c>
    </row>
    <row r="20" spans="3:16" x14ac:dyDescent="0.3">
      <c r="C20" s="2" t="s">
        <v>36</v>
      </c>
      <c r="D20" s="3">
        <v>17</v>
      </c>
      <c r="J20" s="2" t="s">
        <v>36</v>
      </c>
      <c r="K20" s="4">
        <v>33.647058823529413</v>
      </c>
      <c r="O20" s="2" t="s">
        <v>39</v>
      </c>
      <c r="P20" s="4">
        <v>3.8</v>
      </c>
    </row>
    <row r="21" spans="3:16" x14ac:dyDescent="0.3">
      <c r="C21" s="2" t="s">
        <v>37</v>
      </c>
      <c r="D21" s="3">
        <v>10</v>
      </c>
      <c r="J21" s="2" t="s">
        <v>37</v>
      </c>
      <c r="K21" s="4">
        <v>42.2</v>
      </c>
      <c r="O21" s="2" t="s">
        <v>40</v>
      </c>
      <c r="P21" s="4">
        <v>3.6</v>
      </c>
    </row>
    <row r="22" spans="3:16" x14ac:dyDescent="0.3">
      <c r="C22" s="2" t="s">
        <v>38</v>
      </c>
      <c r="D22" s="3">
        <v>16</v>
      </c>
      <c r="J22" s="2" t="s">
        <v>38</v>
      </c>
      <c r="K22" s="4">
        <v>33.3125</v>
      </c>
      <c r="O22" s="2" t="s">
        <v>42</v>
      </c>
      <c r="P22" s="4">
        <v>5.8571428571428568</v>
      </c>
    </row>
    <row r="23" spans="3:16" x14ac:dyDescent="0.3">
      <c r="C23" s="2" t="s">
        <v>39</v>
      </c>
      <c r="D23" s="3">
        <v>13</v>
      </c>
      <c r="J23" s="2" t="s">
        <v>39</v>
      </c>
      <c r="K23" s="4">
        <v>25.76923076923077</v>
      </c>
      <c r="O23" s="2" t="s">
        <v>43</v>
      </c>
      <c r="P23" s="4">
        <v>6.25</v>
      </c>
    </row>
    <row r="24" spans="3:16" x14ac:dyDescent="0.3">
      <c r="C24" s="2" t="s">
        <v>40</v>
      </c>
      <c r="D24" s="3">
        <v>16</v>
      </c>
      <c r="J24" s="2" t="s">
        <v>40</v>
      </c>
      <c r="K24" s="4">
        <v>37.125</v>
      </c>
      <c r="O24" s="2" t="s">
        <v>44</v>
      </c>
      <c r="P24" s="4">
        <v>4.666666666666667</v>
      </c>
    </row>
    <row r="25" spans="3:16" x14ac:dyDescent="0.3">
      <c r="C25" s="2" t="s">
        <v>41</v>
      </c>
      <c r="D25" s="3">
        <v>18</v>
      </c>
      <c r="J25" s="2" t="s">
        <v>41</v>
      </c>
      <c r="K25" s="4">
        <v>37</v>
      </c>
      <c r="O25" s="2" t="s">
        <v>45</v>
      </c>
      <c r="P25" s="4">
        <v>0</v>
      </c>
    </row>
    <row r="26" spans="3:16" x14ac:dyDescent="0.3">
      <c r="C26" s="2" t="s">
        <v>42</v>
      </c>
      <c r="D26" s="3">
        <v>21</v>
      </c>
      <c r="J26" s="2" t="s">
        <v>42</v>
      </c>
      <c r="K26" s="4">
        <v>36.80952380952381</v>
      </c>
      <c r="O26" s="2" t="s">
        <v>46</v>
      </c>
      <c r="P26" s="4">
        <v>4.666666666666667</v>
      </c>
    </row>
    <row r="27" spans="3:16" x14ac:dyDescent="0.3">
      <c r="C27" s="2" t="s">
        <v>43</v>
      </c>
      <c r="D27" s="3">
        <v>15</v>
      </c>
      <c r="J27" s="2" t="s">
        <v>43</v>
      </c>
      <c r="K27" s="4">
        <v>39.799999999999997</v>
      </c>
      <c r="O27" s="2" t="s">
        <v>47</v>
      </c>
      <c r="P27" s="4">
        <v>2.8</v>
      </c>
    </row>
    <row r="28" spans="3:16" x14ac:dyDescent="0.3">
      <c r="C28" s="2" t="s">
        <v>44</v>
      </c>
      <c r="D28" s="3">
        <v>18</v>
      </c>
      <c r="J28" s="2" t="s">
        <v>44</v>
      </c>
      <c r="K28" s="4">
        <v>38</v>
      </c>
      <c r="O28" s="2" t="s">
        <v>48</v>
      </c>
      <c r="P28" s="4">
        <v>4.2</v>
      </c>
    </row>
    <row r="29" spans="3:16" x14ac:dyDescent="0.3">
      <c r="C29" s="2" t="s">
        <v>45</v>
      </c>
      <c r="D29" s="3">
        <v>15</v>
      </c>
      <c r="J29" s="2" t="s">
        <v>45</v>
      </c>
      <c r="K29" s="4">
        <v>36.133333333333333</v>
      </c>
      <c r="O29" s="2" t="s">
        <v>49</v>
      </c>
      <c r="P29" s="4">
        <v>2.5</v>
      </c>
    </row>
    <row r="30" spans="3:16" x14ac:dyDescent="0.3">
      <c r="C30" s="2" t="s">
        <v>46</v>
      </c>
      <c r="D30" s="3">
        <v>18</v>
      </c>
      <c r="J30" s="2" t="s">
        <v>46</v>
      </c>
      <c r="K30" s="4">
        <v>36.555555555555557</v>
      </c>
      <c r="O30" s="2" t="s">
        <v>50</v>
      </c>
      <c r="P30" s="4">
        <v>5</v>
      </c>
    </row>
    <row r="31" spans="3:16" x14ac:dyDescent="0.3">
      <c r="C31" s="2" t="s">
        <v>47</v>
      </c>
      <c r="D31" s="3">
        <v>19</v>
      </c>
      <c r="J31" s="2" t="s">
        <v>47</v>
      </c>
      <c r="K31" s="4">
        <v>39.210526315789473</v>
      </c>
      <c r="O31" s="2" t="s">
        <v>1</v>
      </c>
      <c r="P31" s="4">
        <v>4.6269841269841274</v>
      </c>
    </row>
    <row r="32" spans="3:16" x14ac:dyDescent="0.3">
      <c r="C32" s="2" t="s">
        <v>48</v>
      </c>
      <c r="D32" s="3">
        <v>16</v>
      </c>
      <c r="J32" s="2" t="s">
        <v>48</v>
      </c>
      <c r="K32" s="4">
        <v>31.1875</v>
      </c>
    </row>
    <row r="33" spans="1:11" x14ac:dyDescent="0.3">
      <c r="C33" s="2" t="s">
        <v>49</v>
      </c>
      <c r="D33" s="3">
        <v>13</v>
      </c>
      <c r="J33" s="2" t="s">
        <v>49</v>
      </c>
      <c r="K33" s="4">
        <v>35.153846153846153</v>
      </c>
    </row>
    <row r="34" spans="1:11" x14ac:dyDescent="0.3">
      <c r="C34" s="2" t="s">
        <v>50</v>
      </c>
      <c r="D34" s="3">
        <v>16</v>
      </c>
      <c r="J34" s="2" t="s">
        <v>50</v>
      </c>
      <c r="K34" s="4">
        <v>34.25</v>
      </c>
    </row>
    <row r="35" spans="1:11" x14ac:dyDescent="0.3">
      <c r="C35" s="2" t="s">
        <v>1</v>
      </c>
      <c r="D35" s="3">
        <v>469</v>
      </c>
      <c r="J35" s="2" t="s">
        <v>1</v>
      </c>
      <c r="K35" s="4">
        <v>35.044776119402982</v>
      </c>
    </row>
    <row r="42" spans="1:11" x14ac:dyDescent="0.3">
      <c r="A42" s="12" t="s">
        <v>0</v>
      </c>
      <c r="B42" s="12" t="s">
        <v>64</v>
      </c>
      <c r="C42" s="12" t="s">
        <v>65</v>
      </c>
      <c r="D42" s="8"/>
    </row>
    <row r="43" spans="1:11" x14ac:dyDescent="0.3">
      <c r="A43" s="9" t="s">
        <v>7</v>
      </c>
      <c r="B43" s="10">
        <v>217</v>
      </c>
      <c r="C43" s="11">
        <v>0.46268656716417911</v>
      </c>
    </row>
    <row r="44" spans="1:11" x14ac:dyDescent="0.3">
      <c r="A44" s="9" t="s">
        <v>19</v>
      </c>
      <c r="B44" s="10">
        <v>252</v>
      </c>
      <c r="C44" s="11">
        <v>0.53731343283582089</v>
      </c>
    </row>
    <row r="48" spans="1:11" x14ac:dyDescent="0.3">
      <c r="A48" s="13" t="s">
        <v>0</v>
      </c>
      <c r="B48" s="13" t="s">
        <v>64</v>
      </c>
      <c r="C48" s="13" t="s">
        <v>65</v>
      </c>
      <c r="D48" s="13" t="s">
        <v>66</v>
      </c>
    </row>
    <row r="49" spans="1:4" x14ac:dyDescent="0.3">
      <c r="A49" s="14" t="s">
        <v>7</v>
      </c>
      <c r="B49" s="15">
        <v>235</v>
      </c>
      <c r="C49" s="16">
        <v>0.4845360824742268</v>
      </c>
      <c r="D49" s="17"/>
    </row>
    <row r="50" spans="1:4" x14ac:dyDescent="0.3">
      <c r="A50" s="14" t="s">
        <v>19</v>
      </c>
      <c r="B50" s="15">
        <v>250</v>
      </c>
      <c r="C50" s="16">
        <v>0.51546391752577314</v>
      </c>
      <c r="D50" s="17"/>
    </row>
    <row r="64" spans="1:4" x14ac:dyDescent="0.3">
      <c r="A64" s="1" t="s">
        <v>0</v>
      </c>
      <c r="B64" t="s">
        <v>53</v>
      </c>
    </row>
    <row r="65" spans="1:2" x14ac:dyDescent="0.3">
      <c r="A65" s="2" t="s">
        <v>16</v>
      </c>
      <c r="B65" s="5">
        <v>59</v>
      </c>
    </row>
    <row r="66" spans="1:2" x14ac:dyDescent="0.3">
      <c r="A66" s="2" t="s">
        <v>11</v>
      </c>
      <c r="B66" s="5">
        <v>57</v>
      </c>
    </row>
    <row r="67" spans="1:2" x14ac:dyDescent="0.3">
      <c r="A67" s="2" t="s">
        <v>15</v>
      </c>
      <c r="B67" s="5">
        <v>69</v>
      </c>
    </row>
    <row r="68" spans="1:2" x14ac:dyDescent="0.3">
      <c r="A68" s="2" t="s">
        <v>17</v>
      </c>
      <c r="B68" s="5">
        <v>62</v>
      </c>
    </row>
    <row r="69" spans="1:2" x14ac:dyDescent="0.3">
      <c r="A69" s="2" t="s">
        <v>13</v>
      </c>
      <c r="B69" s="5">
        <v>54</v>
      </c>
    </row>
    <row r="70" spans="1:2" x14ac:dyDescent="0.3">
      <c r="A70" s="2" t="s">
        <v>14</v>
      </c>
      <c r="B70" s="5">
        <v>57</v>
      </c>
    </row>
    <row r="71" spans="1:2" x14ac:dyDescent="0.3">
      <c r="A71" s="2" t="s">
        <v>8</v>
      </c>
      <c r="B71" s="5">
        <v>54</v>
      </c>
    </row>
    <row r="72" spans="1:2" x14ac:dyDescent="0.3">
      <c r="A72" s="2" t="s">
        <v>10</v>
      </c>
      <c r="B72" s="5">
        <v>57</v>
      </c>
    </row>
    <row r="73" spans="1:2" x14ac:dyDescent="0.3">
      <c r="A73" s="2" t="s">
        <v>1</v>
      </c>
      <c r="B73" s="5">
        <v>469</v>
      </c>
    </row>
    <row r="79" spans="1:2" x14ac:dyDescent="0.3">
      <c r="A79" s="1" t="s">
        <v>0</v>
      </c>
      <c r="B79" t="s">
        <v>54</v>
      </c>
    </row>
    <row r="80" spans="1:2" x14ac:dyDescent="0.3">
      <c r="A80" s="2" t="s">
        <v>9</v>
      </c>
      <c r="B80" s="5">
        <v>268</v>
      </c>
    </row>
    <row r="81" spans="1:4" x14ac:dyDescent="0.3">
      <c r="A81" s="2" t="s">
        <v>12</v>
      </c>
      <c r="B81" s="5">
        <v>201</v>
      </c>
    </row>
    <row r="82" spans="1:4" x14ac:dyDescent="0.3">
      <c r="A82" s="2" t="s">
        <v>1</v>
      </c>
      <c r="B82" s="5">
        <v>469</v>
      </c>
    </row>
    <row r="86" spans="1:4" x14ac:dyDescent="0.3">
      <c r="A86" s="1" t="s">
        <v>0</v>
      </c>
      <c r="B86" t="s">
        <v>61</v>
      </c>
    </row>
    <row r="87" spans="1:4" x14ac:dyDescent="0.3">
      <c r="A87" s="2" t="s">
        <v>18</v>
      </c>
      <c r="B87" s="5">
        <v>241</v>
      </c>
    </row>
    <row r="88" spans="1:4" x14ac:dyDescent="0.3">
      <c r="A88" s="2" t="s">
        <v>5</v>
      </c>
      <c r="B88" s="5">
        <v>228</v>
      </c>
    </row>
    <row r="89" spans="1:4" x14ac:dyDescent="0.3">
      <c r="A89" s="2" t="s">
        <v>1</v>
      </c>
      <c r="B89" s="5">
        <v>469</v>
      </c>
    </row>
    <row r="92" spans="1:4" x14ac:dyDescent="0.3">
      <c r="D92" s="1" t="s">
        <v>0</v>
      </c>
    </row>
    <row r="93" spans="1:4" x14ac:dyDescent="0.3">
      <c r="A93" s="1" t="s">
        <v>0</v>
      </c>
      <c r="B93" t="s">
        <v>63</v>
      </c>
      <c r="D93" s="2" t="s">
        <v>20</v>
      </c>
    </row>
    <row r="94" spans="1:4" x14ac:dyDescent="0.3">
      <c r="A94" s="2" t="s">
        <v>57</v>
      </c>
      <c r="B94" s="5">
        <v>13</v>
      </c>
      <c r="D94" s="2" t="s">
        <v>1</v>
      </c>
    </row>
    <row r="95" spans="1:4" x14ac:dyDescent="0.3">
      <c r="A95" s="2" t="s">
        <v>59</v>
      </c>
      <c r="B95" s="5">
        <v>8</v>
      </c>
    </row>
    <row r="96" spans="1:4" x14ac:dyDescent="0.3">
      <c r="A96" s="2" t="s">
        <v>55</v>
      </c>
      <c r="B96" s="5">
        <v>92</v>
      </c>
    </row>
    <row r="97" spans="1:2" x14ac:dyDescent="0.3">
      <c r="A97" s="2" t="s">
        <v>58</v>
      </c>
      <c r="B97" s="5">
        <v>10</v>
      </c>
    </row>
    <row r="98" spans="1:2" x14ac:dyDescent="0.3">
      <c r="A98" s="2" t="s">
        <v>6</v>
      </c>
      <c r="B98" s="5">
        <v>284</v>
      </c>
    </row>
    <row r="99" spans="1:2" x14ac:dyDescent="0.3">
      <c r="A99" s="2" t="s">
        <v>56</v>
      </c>
      <c r="B99" s="5">
        <v>44</v>
      </c>
    </row>
    <row r="100" spans="1:2" x14ac:dyDescent="0.3">
      <c r="A100" s="2" t="s">
        <v>60</v>
      </c>
      <c r="B100" s="5">
        <v>15</v>
      </c>
    </row>
    <row r="101" spans="1:2" x14ac:dyDescent="0.3">
      <c r="A101" s="2" t="s">
        <v>62</v>
      </c>
      <c r="B101" s="5">
        <v>3</v>
      </c>
    </row>
    <row r="102" spans="1:2" x14ac:dyDescent="0.3">
      <c r="A102" s="2" t="s">
        <v>1</v>
      </c>
      <c r="B102" s="5">
        <v>469</v>
      </c>
    </row>
  </sheetData>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E41A-7234-4FB1-A9E9-0D4F9438FD90}">
  <dimension ref="B17:E19"/>
  <sheetViews>
    <sheetView tabSelected="1" zoomScale="160" zoomScaleNormal="160" workbookViewId="0">
      <selection activeCell="B14" sqref="B14"/>
    </sheetView>
  </sheetViews>
  <sheetFormatPr defaultRowHeight="14.4" x14ac:dyDescent="0.3"/>
  <cols>
    <col min="1" max="16384" width="8.88671875" style="7"/>
  </cols>
  <sheetData>
    <row r="17" spans="2:5" x14ac:dyDescent="0.3">
      <c r="B17" s="19"/>
      <c r="C17" s="19"/>
      <c r="D17" s="19"/>
      <c r="E17" s="19"/>
    </row>
    <row r="18" spans="2:5" x14ac:dyDescent="0.3">
      <c r="B18" s="18"/>
      <c r="C18" s="20"/>
      <c r="D18" s="21"/>
      <c r="E18" s="22"/>
    </row>
    <row r="19" spans="2:5" x14ac:dyDescent="0.3">
      <c r="B19" s="18"/>
      <c r="C19" s="20"/>
      <c r="D19" s="21"/>
      <c r="E19" s="22"/>
    </row>
  </sheetData>
  <dataConsolidate/>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BA505-32D0-44D6-AD51-CAF202AB6D90}">
  <dimension ref="A1"/>
  <sheetViews>
    <sheetView workbookViewId="0"/>
  </sheetViews>
  <sheetFormatPr defaultRowHeight="14.4" x14ac:dyDescent="0.3"/>
  <cols>
    <col min="1" max="16384" width="8.88671875" style="6"/>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77C11-1054-48EF-9AC1-E4ABF4C5825E}">
  <dimension ref="G21"/>
  <sheetViews>
    <sheetView workbookViewId="0"/>
  </sheetViews>
  <sheetFormatPr defaultRowHeight="14.4" x14ac:dyDescent="0.3"/>
  <cols>
    <col min="1" max="16384" width="8.88671875" style="6"/>
  </cols>
  <sheetData>
    <row r="21" spans="7:7" x14ac:dyDescent="0.3">
      <c r="G21" s="6" t="s">
        <v>52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D2D92-51F5-4C4D-9736-3DBF7357AE69}">
  <dimension ref="A1"/>
  <sheetViews>
    <sheetView workbookViewId="0"/>
  </sheetViews>
  <sheetFormatPr defaultRowHeight="14.4" x14ac:dyDescent="0.3"/>
  <cols>
    <col min="1" max="16384" width="8.88671875" style="6"/>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212E17D9-4D30-4971-97C1-04BC4D3CD62A}">
  <ds:schemaRefs/>
</ds:datastoreItem>
</file>

<file path=customXml/itemProps2.xml><?xml version="1.0" encoding="utf-8"?>
<ds:datastoreItem xmlns:ds="http://schemas.openxmlformats.org/officeDocument/2006/customXml" ds:itemID="{69D144BE-3653-4618-B311-A90C75A44C83}">
  <ds:schemaRefs/>
</ds:datastoreItem>
</file>

<file path=customXml/itemProps3.xml><?xml version="1.0" encoding="utf-8"?>
<ds:datastoreItem xmlns:ds="http://schemas.openxmlformats.org/officeDocument/2006/customXml" ds:itemID="{6C2CAAF1-7B60-4B33-AD9A-CFB2261A1181}">
  <ds:schemaRefs/>
</ds:datastoreItem>
</file>

<file path=customXml/itemProps4.xml><?xml version="1.0" encoding="utf-8"?>
<ds:datastoreItem xmlns:ds="http://schemas.openxmlformats.org/officeDocument/2006/customXml" ds:itemID="{7C78E6B8-071E-432D-8392-415DE636831D}">
  <ds:schemaRefs/>
</ds:datastoreItem>
</file>

<file path=customXml/itemProps5.xml><?xml version="1.0" encoding="utf-8"?>
<ds:datastoreItem xmlns:ds="http://schemas.openxmlformats.org/officeDocument/2006/customXml" ds:itemID="{68AD8DFB-72EF-4393-AC88-C8969D47ABC7}">
  <ds:schemaRefs/>
</ds:datastoreItem>
</file>

<file path=customXml/itemProps6.xml><?xml version="1.0" encoding="utf-8"?>
<ds:datastoreItem xmlns:ds="http://schemas.openxmlformats.org/officeDocument/2006/customXml" ds:itemID="{F1E61C1D-FB2A-4518-BB77-9C632DDBFB11}">
  <ds:schemaRefs>
    <ds:schemaRef ds:uri="http://schemas.microsoft.com/DataMashup"/>
  </ds:schemaRefs>
</ds:datastoreItem>
</file>

<file path=customXml/itemProps7.xml><?xml version="1.0" encoding="utf-8"?>
<ds:datastoreItem xmlns:ds="http://schemas.openxmlformats.org/officeDocument/2006/customXml" ds:itemID="{9AACC6D4-7E58-44CD-A1DE-947D6740412E}">
  <ds:schemaRefs/>
</ds:datastoreItem>
</file>

<file path=customXml/itemProps8.xml><?xml version="1.0" encoding="utf-8"?>
<ds:datastoreItem xmlns:ds="http://schemas.openxmlformats.org/officeDocument/2006/customXml" ds:itemID="{037586A4-CC5F-4907-B2C3-7E8FF4854C27}">
  <ds:schemaRefs/>
</ds:datastoreItem>
</file>

<file path=customXml/itemProps9.xml><?xml version="1.0" encoding="utf-8"?>
<ds:datastoreItem xmlns:ds="http://schemas.openxmlformats.org/officeDocument/2006/customXml" ds:itemID="{31A9F6ED-5E05-432C-9B7F-0FE353FF54D9}">
  <ds:schemaRefs/>
</ds:datastoreItem>
</file>

<file path=customXml/itemProps10.xml><?xml version="1.0" encoding="utf-8"?>
<ds:datastoreItem xmlns:ds="http://schemas.openxmlformats.org/officeDocument/2006/customXml" ds:itemID="{B1727248-EA81-42E1-A0F9-6F135BAFE0BE}">
  <ds:schemaRefs/>
</ds:datastoreItem>
</file>

<file path=customXml/itemProps11.xml><?xml version="1.0" encoding="utf-8"?>
<ds:datastoreItem xmlns:ds="http://schemas.openxmlformats.org/officeDocument/2006/customXml" ds:itemID="{251618C4-67DE-4478-A7AC-C4EA6898408B}">
  <ds:schemaRefs/>
</ds:datastoreItem>
</file>

<file path=customXml/itemProps12.xml><?xml version="1.0" encoding="utf-8"?>
<ds:datastoreItem xmlns:ds="http://schemas.openxmlformats.org/officeDocument/2006/customXml" ds:itemID="{16228F4D-A269-468D-8085-B1A2C956A175}">
  <ds:schemaRefs/>
</ds:datastoreItem>
</file>

<file path=customXml/itemProps13.xml><?xml version="1.0" encoding="utf-8"?>
<ds:datastoreItem xmlns:ds="http://schemas.openxmlformats.org/officeDocument/2006/customXml" ds:itemID="{0F46858B-8F43-4F5E-875F-11A27E3D60EE}">
  <ds:schemaRefs/>
</ds:datastoreItem>
</file>

<file path=customXml/itemProps14.xml><?xml version="1.0" encoding="utf-8"?>
<ds:datastoreItem xmlns:ds="http://schemas.openxmlformats.org/officeDocument/2006/customXml" ds:itemID="{041AF242-99B0-465E-99CC-B74CCF98FB3D}">
  <ds:schemaRefs/>
</ds:datastoreItem>
</file>

<file path=customXml/itemProps15.xml><?xml version="1.0" encoding="utf-8"?>
<ds:datastoreItem xmlns:ds="http://schemas.openxmlformats.org/officeDocument/2006/customXml" ds:itemID="{6E3B1E94-1F40-4E44-A115-9FCDE2871F26}">
  <ds:schemaRefs/>
</ds:datastoreItem>
</file>

<file path=customXml/itemProps16.xml><?xml version="1.0" encoding="utf-8"?>
<ds:datastoreItem xmlns:ds="http://schemas.openxmlformats.org/officeDocument/2006/customXml" ds:itemID="{367FDA05-2DAF-45D0-9A2B-9E628A09CB71}">
  <ds:schemaRefs/>
</ds:datastoreItem>
</file>

<file path=customXml/itemProps17.xml><?xml version="1.0" encoding="utf-8"?>
<ds:datastoreItem xmlns:ds="http://schemas.openxmlformats.org/officeDocument/2006/customXml" ds:itemID="{8219166C-644C-4386-B317-D13503B7C20F}">
  <ds:schemaRefs/>
</ds:datastoreItem>
</file>

<file path=customXml/itemProps18.xml><?xml version="1.0" encoding="utf-8"?>
<ds:datastoreItem xmlns:ds="http://schemas.openxmlformats.org/officeDocument/2006/customXml" ds:itemID="{7F90D845-D755-4A3F-81FF-6EB54CBC65B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Average of Paient Waittime</vt:lpstr>
      <vt:lpstr>Avg Satisfaction Score</vt:lpstr>
      <vt:lpstr>Daily ER No of patient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Roshani</dc:creator>
  <cp:lastModifiedBy>Ritesh Singh Jadoun</cp:lastModifiedBy>
  <dcterms:created xsi:type="dcterms:W3CDTF">2026-03-22T12:51:45Z</dcterms:created>
  <dcterms:modified xsi:type="dcterms:W3CDTF">2026-03-22T22:54:40Z</dcterms:modified>
</cp:coreProperties>
</file>